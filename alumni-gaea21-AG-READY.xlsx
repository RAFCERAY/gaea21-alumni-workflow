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lumni AG" sheetId="1" state="visible" r:id="rId1"/>
    <sheet name="📊 Stats" sheetId="2" state="visible" r:id="rId2"/>
    <sheet name="🎯 Priorités" sheetId="3" state="visible" r:id="rId3"/>
  </sheets>
  <definedNames>
    <definedName name="_xlnm._FilterDatabase" localSheetId="0" hidden="1">'Alumni AG'!$A$2:$R$512</definedName>
    <definedName name="_xlnm._FilterDatabase" localSheetId="2" hidden="1">'🎯 Priorités'!$A$3:$E$153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b val="1"/>
      <color rgb="FFFFFFFF"/>
      <sz val="10"/>
    </font>
    <font>
      <name val="Arial"/>
      <color theme="1"/>
      <sz val="10"/>
    </font>
    <font>
      <name val="Calibri"/>
      <color theme="1"/>
      <scheme val="minor"/>
    </font>
    <font>
      <color rgb="FF0000FF"/>
      <u val="single"/>
    </font>
    <font>
      <name val="Arial"/>
      <color rgb="FF0000FF"/>
      <sz val="10"/>
      <u val="single"/>
    </font>
    <font>
      <name val="Arial"/>
      <b val="1"/>
      <color rgb="FF1B5E20"/>
      <sz val="12"/>
    </font>
    <font>
      <name val="Arial"/>
      <b val="1"/>
      <color rgb="FF1B5E20"/>
      <sz val="14"/>
    </font>
    <font>
      <name val="Calibri"/>
      <color theme="1"/>
      <sz val="11"/>
    </font>
  </fonts>
  <fills count="7">
    <fill>
      <patternFill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4CAF50"/>
        <bgColor rgb="FF4CAF50"/>
      </patternFill>
    </fill>
    <fill>
      <patternFill patternType="solid">
        <fgColor rgb="FF1976D2"/>
        <bgColor rgb="FF1976D2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/>
    </xf>
    <xf numFmtId="0" fontId="4" fillId="5" borderId="4" applyAlignment="1" pivotButton="0" quotePrefix="0" xfId="0">
      <alignment horizontal="left" vertical="center"/>
    </xf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4" fillId="5" borderId="4" applyAlignment="1" pivotButton="0" quotePrefix="0" xfId="0">
      <alignment horizontal="left" vertical="center"/>
    </xf>
    <xf numFmtId="0" fontId="6" fillId="0" borderId="0" pivotButton="0" quotePrefix="0" xfId="0"/>
    <xf numFmtId="0" fontId="7" fillId="5" borderId="4" applyAlignment="1" pivotButton="0" quotePrefix="0" xfId="0">
      <alignment horizontal="left" vertical="center"/>
    </xf>
    <xf numFmtId="0" fontId="4" fillId="5" borderId="4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4" fillId="0" borderId="4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6" borderId="4" pivotButton="0" quotePrefix="0" xfId="0"/>
    <xf numFmtId="0" fontId="9" fillId="6" borderId="4" applyAlignment="1" pivotButton="0" quotePrefix="0" xfId="0">
      <alignment horizontal="center"/>
    </xf>
    <xf numFmtId="0" fontId="3" fillId="3" borderId="5" pivotButton="0" quotePrefix="0" xfId="0"/>
    <xf numFmtId="0" fontId="4" fillId="0" borderId="4" pivotButton="0" quotePrefix="0" xfId="0"/>
    <xf numFmtId="0" fontId="10" fillId="6" borderId="1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/>
    </xf>
    <xf numFmtId="0" fontId="0" fillId="0" borderId="0" pivotButton="0" quotePrefix="0" xfId="0"/>
    <xf numFmtId="0" fontId="1" fillId="2" borderId="5" applyAlignment="1" pivotButton="0" quotePrefix="0" xfId="0">
      <alignment horizontal="center" vertical="center"/>
    </xf>
    <xf numFmtId="0" fontId="10" fillId="6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ngela-abankwa-76991458/" TargetMode="External" Id="rId1" /><Relationship Type="http://schemas.openxmlformats.org/officeDocument/2006/relationships/hyperlink" Target="https://www.linkedin.com/in/asmaa-abiderrahmane/" TargetMode="External" Id="rId2" /><Relationship Type="http://schemas.openxmlformats.org/officeDocument/2006/relationships/hyperlink" Target="https://www.linkedin.com/in/andr%C3%A9-alexandre-abli-1284b2198/" TargetMode="External" Id="rId3" /><Relationship Type="http://schemas.openxmlformats.org/officeDocument/2006/relationships/hyperlink" Target="https://www.linkedin.com/in/g%C3%A9rald-agboti/" TargetMode="External" Id="rId4" /><Relationship Type="http://schemas.openxmlformats.org/officeDocument/2006/relationships/hyperlink" Target="https://www.linkedin.com/in/yassh-agoro-91a460315/" TargetMode="External" Id="rId5" /><Relationship Type="http://schemas.openxmlformats.org/officeDocument/2006/relationships/hyperlink" Target="https://www.linkedin.com/in/yousra-al-nasir-4973ab209/" TargetMode="External" Id="rId6" /><Relationship Type="http://schemas.openxmlformats.org/officeDocument/2006/relationships/hyperlink" Target="https://www.linkedin.com/in/jules-vianney-aliana-fouda/" TargetMode="External" Id="rId7" /><Relationship Type="http://schemas.openxmlformats.org/officeDocument/2006/relationships/hyperlink" Target="https://www.linkedin.com/in/alice-alves-pinto/" TargetMode="External" Id="rId8" /><Relationship Type="http://schemas.openxmlformats.org/officeDocument/2006/relationships/hyperlink" Target="https://www.linkedin.com/in/claire-amblard-a688b210a/" TargetMode="External" Id="rId9" /><Relationship Type="http://schemas.openxmlformats.org/officeDocument/2006/relationships/hyperlink" Target="https://www.linkedin.com/in/claire-amory/" TargetMode="External" Id="rId10" /><Relationship Type="http://schemas.openxmlformats.org/officeDocument/2006/relationships/hyperlink" Target="https://www.linkedin.com/in/anna-maria-annonay-a24585268/" TargetMode="External" Id="rId11" /><Relationship Type="http://schemas.openxmlformats.org/officeDocument/2006/relationships/hyperlink" Target="https://www.linkedin.com/in/aman-antille/" TargetMode="External" Id="rId12" /><Relationship Type="http://schemas.openxmlformats.org/officeDocument/2006/relationships/hyperlink" Target="https://www.linkedin.com/in/faouziarfaoui/" TargetMode="External" Id="rId13" /><Relationship Type="http://schemas.openxmlformats.org/officeDocument/2006/relationships/hyperlink" Target="https://www.linkedin.com/in/khalid-assenghour-969a0420a/" TargetMode="External" Id="rId14" /><Relationship Type="http://schemas.openxmlformats.org/officeDocument/2006/relationships/hyperlink" Target="https://www.linkedin.com/in/amal-ayed/" TargetMode="External" Id="rId15" /><Relationship Type="http://schemas.openxmlformats.org/officeDocument/2006/relationships/hyperlink" Target="https://www.linkedin.com/in/natalia-acu%C3%B1a-andrey/" TargetMode="External" Id="rId16" /><Relationship Type="http://schemas.openxmlformats.org/officeDocument/2006/relationships/hyperlink" Target="https://www.linkedin.com/in/zineb-arfani-070286269/" TargetMode="External" Id="rId17" /><Relationship Type="http://schemas.openxmlformats.org/officeDocument/2006/relationships/hyperlink" Target="https://www.linkedin.com/in/brahim-bachou-556b53282/?locale=fr_FR" TargetMode="External" Id="rId18" /><Relationship Type="http://schemas.openxmlformats.org/officeDocument/2006/relationships/hyperlink" Target="https://www.linkedin.com/in/izabela-baranienko-b335b2268/" TargetMode="External" Id="rId19" /><Relationship Type="http://schemas.openxmlformats.org/officeDocument/2006/relationships/hyperlink" Target="https://www.linkedin.com/in/ryan-bekaddour-29242b1b9/" TargetMode="External" Id="rId20" /><Relationship Type="http://schemas.openxmlformats.org/officeDocument/2006/relationships/hyperlink" Target="https://www.linkedin.com/in/samira-belarbi/" TargetMode="External" Id="rId21" /><Relationship Type="http://schemas.openxmlformats.org/officeDocument/2006/relationships/hyperlink" Target="https://www.linkedin.com/in/angeline-bellini/" TargetMode="External" Id="rId22" /><Relationship Type="http://schemas.openxmlformats.org/officeDocument/2006/relationships/hyperlink" Target="https://www.linkedin.com/in/hafsa-belmir-communication/" TargetMode="External" Id="rId23" /><Relationship Type="http://schemas.openxmlformats.org/officeDocument/2006/relationships/hyperlink" Target="https://www.linkedin.com/in/mohamed-ben-maaouia/" TargetMode="External" Id="rId24" /><Relationship Type="http://schemas.openxmlformats.org/officeDocument/2006/relationships/hyperlink" Target="https://www.linkedin.com/in/loubna-bouhannou-262476151/" TargetMode="External" Id="rId25" /><Relationship Type="http://schemas.openxmlformats.org/officeDocument/2006/relationships/hyperlink" Target="https://www.linkedin.com/in/raoul-bassil/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4.43" defaultRowHeight="15" customHeight="1"/>
  <cols>
    <col width="5" customWidth="1" style="24" min="1" max="1"/>
    <col width="14" customWidth="1" style="24" min="2" max="2"/>
    <col width="16" customWidth="1" style="24" min="3" max="3"/>
    <col width="12" customWidth="1" style="24" min="4" max="4"/>
    <col width="24" customWidth="1" style="24" min="5" max="5"/>
    <col width="14" customWidth="1" style="24" min="6" max="6"/>
    <col width="12" customWidth="1" style="24" min="7" max="8"/>
    <col width="14" customWidth="1" style="24" min="9" max="9"/>
    <col width="20" customWidth="1" style="24" min="10" max="10"/>
    <col width="24" customWidth="1" style="24" min="11" max="12"/>
    <col width="14" customWidth="1" style="24" min="13" max="13"/>
    <col width="12" customWidth="1" style="24" min="14" max="14"/>
    <col width="22" customWidth="1" style="24" min="15" max="15"/>
    <col width="30" customWidth="1" style="24" min="16" max="16"/>
    <col width="18" customWidth="1" style="24" min="17" max="17"/>
    <col width="30" customWidth="1" style="24" min="18" max="18"/>
    <col width="8.859999999999999" customWidth="1" style="24" min="19" max="26"/>
  </cols>
  <sheetData>
    <row r="1" ht="30" customHeight="1" s="24">
      <c r="A1" s="25" t="inlineStr">
        <is>
          <t>🌱 Alumni Gaea21 pour AG — 510 personnes</t>
        </is>
      </c>
    </row>
    <row r="2" ht="34.5" customHeight="1" s="24">
      <c r="A2" s="4" t="inlineStr">
        <is>
          <t>ID</t>
        </is>
      </c>
      <c r="B2" s="4" t="inlineStr">
        <is>
          <t>Prénom</t>
        </is>
      </c>
      <c r="C2" s="4" t="inlineStr">
        <is>
          <t>Nom</t>
        </is>
      </c>
      <c r="D2" s="4" t="inlineStr">
        <is>
          <t>Année sortie</t>
        </is>
      </c>
      <c r="E2" s="4" t="inlineStr">
        <is>
          <t>Fonction Gaea21</t>
        </is>
      </c>
      <c r="F2" s="4" t="inlineStr">
        <is>
          <t>Type contrat</t>
        </is>
      </c>
      <c r="G2" s="4" t="inlineStr">
        <is>
          <t>Date entrée</t>
        </is>
      </c>
      <c r="H2" s="4" t="inlineStr">
        <is>
          <t>Date sortie</t>
        </is>
      </c>
      <c r="I2" s="4" t="inlineStr">
        <is>
          <t>Statut Alumni</t>
        </is>
      </c>
      <c r="J2" s="5" t="inlineStr">
        <is>
          <t>— LinkedIn —</t>
        </is>
      </c>
      <c r="K2" s="5" t="inlineStr">
        <is>
          <t>Poste actuel</t>
        </is>
      </c>
      <c r="L2" s="5" t="inlineStr">
        <is>
          <t>Entreprise</t>
        </is>
      </c>
      <c r="M2" s="5" t="inlineStr">
        <is>
          <t>Ville</t>
        </is>
      </c>
      <c r="N2" s="5" t="inlineStr">
        <is>
          <t>Pays</t>
        </is>
      </c>
      <c r="O2" s="5" t="inlineStr">
        <is>
          <t>Secteur</t>
        </is>
      </c>
      <c r="P2" s="5" t="inlineStr">
        <is>
          <t>URL LinkedIn</t>
        </is>
      </c>
      <c r="Q2" s="5" t="inlineStr">
        <is>
          <t>Statut enrich.</t>
        </is>
      </c>
      <c r="R2" s="5" t="inlineStr">
        <is>
          <t>Notes</t>
        </is>
      </c>
    </row>
    <row r="3" hidden="1" s="24">
      <c r="A3" s="6" t="n">
        <v>2</v>
      </c>
      <c r="B3" s="6" t="inlineStr">
        <is>
          <t>Khaled</t>
        </is>
      </c>
      <c r="C3" s="6" t="inlineStr">
        <is>
          <t>ABDELHAK</t>
        </is>
      </c>
      <c r="D3" s="6" t="n">
        <v>2023</v>
      </c>
      <c r="E3" s="6" t="inlineStr">
        <is>
          <t>IT</t>
        </is>
      </c>
      <c r="F3" s="6" t="inlineStr">
        <is>
          <t>Bénévole</t>
        </is>
      </c>
      <c r="G3" s="6" t="inlineStr">
        <is>
          <t>2023-03-02</t>
        </is>
      </c>
      <c r="H3" s="6" t="inlineStr">
        <is>
          <t>2023-09-02</t>
        </is>
      </c>
      <c r="I3" s="6" t="n"/>
      <c r="J3" s="10" t="n"/>
      <c r="K3" s="10" t="n"/>
      <c r="L3" s="10" t="n"/>
      <c r="M3" s="10" t="n"/>
      <c r="N3" s="10" t="n"/>
      <c r="O3" s="10" t="n"/>
      <c r="P3" s="10" t="n"/>
      <c r="Q3" s="10" t="inlineStr">
        <is>
          <t>⬜ À enrichir</t>
        </is>
      </c>
      <c r="R3" s="10" t="n"/>
    </row>
    <row r="4" hidden="1" s="24">
      <c r="A4" s="6" t="n">
        <v>6</v>
      </c>
      <c r="B4" s="6" t="inlineStr">
        <is>
          <t>Conan Sherlock</t>
        </is>
      </c>
      <c r="C4" s="6" t="inlineStr">
        <is>
          <t>ABOUTOU</t>
        </is>
      </c>
      <c r="D4" s="6" t="n">
        <v>2023</v>
      </c>
      <c r="E4" s="6" t="inlineStr">
        <is>
          <t>Statistiques</t>
        </is>
      </c>
      <c r="F4" s="6" t="inlineStr">
        <is>
          <t>Bénévole</t>
        </is>
      </c>
      <c r="G4" s="6" t="inlineStr">
        <is>
          <t>2023-02-08</t>
        </is>
      </c>
      <c r="H4" s="6" t="inlineStr">
        <is>
          <t>2023-11-03</t>
        </is>
      </c>
      <c r="I4" s="6" t="n"/>
      <c r="J4" s="10" t="n"/>
      <c r="K4" s="10" t="n"/>
      <c r="L4" s="10" t="n"/>
      <c r="M4" s="10" t="n"/>
      <c r="N4" s="10" t="n"/>
      <c r="O4" s="10" t="n"/>
      <c r="P4" s="10" t="n"/>
      <c r="Q4" s="10" t="inlineStr">
        <is>
          <t>⬜ À enrichir</t>
        </is>
      </c>
      <c r="R4" s="10" t="n"/>
    </row>
    <row r="5" hidden="1" s="24">
      <c r="A5" s="6" t="n">
        <v>8</v>
      </c>
      <c r="B5" s="6" t="inlineStr">
        <is>
          <t>Imane</t>
        </is>
      </c>
      <c r="C5" s="6" t="inlineStr">
        <is>
          <t>ACHOURI</t>
        </is>
      </c>
      <c r="D5" s="6" t="n">
        <v>2023</v>
      </c>
      <c r="E5" s="6" t="inlineStr">
        <is>
          <t xml:space="preserve">scientifique </t>
        </is>
      </c>
      <c r="F5" s="6" t="inlineStr">
        <is>
          <t>Bénévole</t>
        </is>
      </c>
      <c r="G5" s="6" t="inlineStr">
        <is>
          <t>2023-05-10</t>
        </is>
      </c>
      <c r="H5" s="6" t="inlineStr">
        <is>
          <t>2023-11-17</t>
        </is>
      </c>
      <c r="I5" s="6" t="n"/>
      <c r="J5" s="10" t="n"/>
      <c r="K5" s="10" t="n"/>
      <c r="L5" s="10" t="n"/>
      <c r="M5" s="10" t="n"/>
      <c r="N5" s="10" t="n"/>
      <c r="O5" s="10" t="n"/>
      <c r="P5" s="10" t="n"/>
      <c r="Q5" s="10" t="inlineStr">
        <is>
          <t>⬜ À enrichir</t>
        </is>
      </c>
      <c r="R5" s="10" t="n"/>
    </row>
    <row r="6" hidden="1" s="24">
      <c r="A6" s="6" t="n">
        <v>9</v>
      </c>
      <c r="B6" s="6" t="inlineStr">
        <is>
          <t>Manuela</t>
        </is>
      </c>
      <c r="C6" s="6" t="inlineStr">
        <is>
          <t>ACOSTA</t>
        </is>
      </c>
      <c r="D6" s="6" t="n">
        <v>2023</v>
      </c>
      <c r="E6" s="6" t="inlineStr">
        <is>
          <t>RH</t>
        </is>
      </c>
      <c r="F6" s="6" t="inlineStr">
        <is>
          <t>Bénévole</t>
        </is>
      </c>
      <c r="G6" s="6" t="inlineStr">
        <is>
          <t>2023-03-01</t>
        </is>
      </c>
      <c r="H6" s="6" t="inlineStr">
        <is>
          <t>2023-06-02</t>
        </is>
      </c>
      <c r="I6" s="6" t="n"/>
      <c r="J6" s="10" t="n"/>
      <c r="K6" s="10" t="n"/>
      <c r="L6" s="10" t="n"/>
      <c r="M6" s="10" t="n"/>
      <c r="N6" s="10" t="n"/>
      <c r="O6" s="10" t="n"/>
      <c r="P6" s="10" t="n"/>
      <c r="Q6" s="10" t="inlineStr">
        <is>
          <t>⬜ À enrichir</t>
        </is>
      </c>
      <c r="R6" s="10" t="n"/>
    </row>
    <row r="7" hidden="1" s="24">
      <c r="A7" s="6" t="n">
        <v>10</v>
      </c>
      <c r="B7" s="6" t="inlineStr">
        <is>
          <t>Annick</t>
        </is>
      </c>
      <c r="C7" s="6" t="inlineStr">
        <is>
          <t>ADOUKONOU</t>
        </is>
      </c>
      <c r="D7" s="6" t="n">
        <v>2023</v>
      </c>
      <c r="E7" s="6" t="inlineStr">
        <is>
          <t xml:space="preserve">GCBO / Restuaration durable </t>
        </is>
      </c>
      <c r="F7" s="6" t="inlineStr">
        <is>
          <t>Bénévole</t>
        </is>
      </c>
      <c r="G7" s="6" t="inlineStr">
        <is>
          <t>2023-08-07</t>
        </is>
      </c>
      <c r="H7" s="6" t="inlineStr">
        <is>
          <t>2023-12-15</t>
        </is>
      </c>
      <c r="I7" s="6" t="n"/>
      <c r="J7" s="10" t="n"/>
      <c r="K7" s="10" t="n"/>
      <c r="L7" s="10" t="n"/>
      <c r="M7" s="10" t="n"/>
      <c r="N7" s="10" t="n"/>
      <c r="O7" s="10" t="n"/>
      <c r="P7" s="10" t="n"/>
      <c r="Q7" s="10" t="inlineStr">
        <is>
          <t>⬜ À enrichir</t>
        </is>
      </c>
      <c r="R7" s="10" t="n"/>
    </row>
    <row r="8" hidden="1" s="24">
      <c r="A8" s="6" t="n">
        <v>12</v>
      </c>
      <c r="B8" s="6" t="inlineStr">
        <is>
          <t>Nour</t>
        </is>
      </c>
      <c r="C8" s="6" t="inlineStr">
        <is>
          <t>AFFES</t>
        </is>
      </c>
      <c r="D8" s="6" t="n">
        <v>2023</v>
      </c>
      <c r="E8" s="6" t="inlineStr">
        <is>
          <t>IT</t>
        </is>
      </c>
      <c r="F8" s="6" t="inlineStr">
        <is>
          <t>Conventioné</t>
        </is>
      </c>
      <c r="G8" s="6" t="inlineStr">
        <is>
          <t>2022-06-09</t>
        </is>
      </c>
      <c r="H8" s="6" t="inlineStr">
        <is>
          <t>2023-02-03</t>
        </is>
      </c>
      <c r="I8" s="6" t="n"/>
      <c r="J8" s="10" t="n"/>
      <c r="K8" s="10" t="n"/>
      <c r="L8" s="10" t="n"/>
      <c r="M8" s="10" t="n"/>
      <c r="N8" s="10" t="n"/>
      <c r="O8" s="10" t="n"/>
      <c r="P8" s="10" t="n"/>
      <c r="Q8" s="10" t="inlineStr">
        <is>
          <t>⬜ À enrichir</t>
        </is>
      </c>
      <c r="R8" s="10" t="n"/>
    </row>
    <row r="9" hidden="1" s="24">
      <c r="A9" s="6" t="n">
        <v>16</v>
      </c>
      <c r="B9" s="6" t="inlineStr">
        <is>
          <t>Pélé Patrice</t>
        </is>
      </c>
      <c r="C9" s="6" t="inlineStr">
        <is>
          <t>AHOUDJI</t>
        </is>
      </c>
      <c r="D9" s="6" t="n">
        <v>2023</v>
      </c>
      <c r="E9" s="6" t="inlineStr">
        <is>
          <t>CCDSP - smart cities, recherche   et AG recherche</t>
        </is>
      </c>
      <c r="F9" s="6" t="inlineStr">
        <is>
          <t>Bénévole</t>
        </is>
      </c>
      <c r="G9" s="6" t="inlineStr">
        <is>
          <t>2023-10-10</t>
        </is>
      </c>
      <c r="H9" s="6" t="inlineStr">
        <is>
          <t>2024-05-03</t>
        </is>
      </c>
      <c r="I9" s="6" t="n"/>
      <c r="J9" s="10" t="n"/>
      <c r="K9" s="10" t="n"/>
      <c r="L9" s="10" t="n"/>
      <c r="M9" s="10" t="n"/>
      <c r="N9" s="10" t="n"/>
      <c r="O9" s="10" t="n"/>
      <c r="P9" s="10" t="n"/>
      <c r="Q9" s="10" t="inlineStr">
        <is>
          <t>⬜ À enrichir</t>
        </is>
      </c>
      <c r="R9" s="10" t="n"/>
    </row>
    <row r="10" hidden="1" s="24">
      <c r="A10" s="6" t="n">
        <v>17</v>
      </c>
      <c r="B10" s="6" t="inlineStr">
        <is>
          <t>Mame Lala</t>
        </is>
      </c>
      <c r="C10" s="6" t="inlineStr">
        <is>
          <t>AICHA DIENG</t>
        </is>
      </c>
      <c r="D10" s="6" t="n">
        <v>2023</v>
      </c>
      <c r="E10" s="6" t="inlineStr">
        <is>
          <t>Statistiques</t>
        </is>
      </c>
      <c r="F10" s="6" t="inlineStr">
        <is>
          <t>Conventioné</t>
        </is>
      </c>
      <c r="G10" s="6" t="inlineStr">
        <is>
          <t>2023-12-11</t>
        </is>
      </c>
      <c r="H10" s="6" t="inlineStr">
        <is>
          <t>2024-07-05</t>
        </is>
      </c>
      <c r="I10" s="6" t="n"/>
      <c r="J10" s="10" t="n"/>
      <c r="K10" s="10" t="n"/>
      <c r="L10" s="10" t="n"/>
      <c r="M10" s="10" t="n"/>
      <c r="N10" s="10" t="n"/>
      <c r="O10" s="10" t="n"/>
      <c r="P10" s="10" t="n"/>
      <c r="Q10" s="10" t="inlineStr">
        <is>
          <t>⬜ À enrichir</t>
        </is>
      </c>
      <c r="R10" s="10" t="n"/>
    </row>
    <row r="11" hidden="1" s="24">
      <c r="A11" s="6" t="n">
        <v>20</v>
      </c>
      <c r="B11" s="6" t="inlineStr">
        <is>
          <t>Tolgahan</t>
        </is>
      </c>
      <c r="C11" s="6" t="inlineStr">
        <is>
          <t>ALGUL</t>
        </is>
      </c>
      <c r="D11" s="6" t="n">
        <v>2023</v>
      </c>
      <c r="E11" s="6" t="inlineStr">
        <is>
          <t>Partenariat et expension</t>
        </is>
      </c>
      <c r="F11" s="6" t="inlineStr">
        <is>
          <t>Conventioné</t>
        </is>
      </c>
      <c r="G11" s="6" t="inlineStr">
        <is>
          <t>2023-02-05</t>
        </is>
      </c>
      <c r="H11" s="6" t="inlineStr">
        <is>
          <t>2023-03-08</t>
        </is>
      </c>
      <c r="I11" s="6" t="inlineStr">
        <is>
          <t>Non</t>
        </is>
      </c>
      <c r="J11" s="10" t="n"/>
      <c r="K11" s="10" t="n"/>
      <c r="L11" s="10" t="n"/>
      <c r="M11" s="10" t="n"/>
      <c r="N11" s="10" t="n"/>
      <c r="O11" s="10" t="n"/>
      <c r="P11" s="10" t="n"/>
      <c r="Q11" s="10" t="inlineStr">
        <is>
          <t>⬜ À enrichir</t>
        </is>
      </c>
      <c r="R11" s="10" t="n"/>
    </row>
    <row r="12" hidden="1" s="24">
      <c r="A12" s="6" t="n">
        <v>24</v>
      </c>
      <c r="B12" s="6" t="inlineStr">
        <is>
          <t>Emmanuelle</t>
        </is>
      </c>
      <c r="C12" s="6" t="inlineStr">
        <is>
          <t>AMBERT</t>
        </is>
      </c>
      <c r="D12" s="6" t="n">
        <v>2023</v>
      </c>
      <c r="E12" s="6" t="inlineStr">
        <is>
          <t>Traduction</t>
        </is>
      </c>
      <c r="F12" s="6" t="inlineStr">
        <is>
          <t>Conventioné</t>
        </is>
      </c>
      <c r="G12" s="6" t="inlineStr">
        <is>
          <t>2023-04-11</t>
        </is>
      </c>
      <c r="H12" s="6" t="inlineStr">
        <is>
          <t>2023-08-10</t>
        </is>
      </c>
      <c r="I12" s="6" t="n"/>
      <c r="J12" s="10" t="n"/>
      <c r="K12" s="10" t="n"/>
      <c r="L12" s="10" t="n"/>
      <c r="M12" s="10" t="n"/>
      <c r="N12" s="10" t="n"/>
      <c r="O12" s="10" t="n"/>
      <c r="P12" s="10" t="n"/>
      <c r="Q12" s="10" t="inlineStr">
        <is>
          <t>⬜ À enrichir</t>
        </is>
      </c>
      <c r="R12" s="10" t="n"/>
    </row>
    <row r="13" hidden="1" s="24">
      <c r="A13" s="6" t="n">
        <v>26</v>
      </c>
      <c r="B13" s="6" t="inlineStr">
        <is>
          <t>Gary</t>
        </is>
      </c>
      <c r="C13" s="6" t="inlineStr">
        <is>
          <t>AMECIA</t>
        </is>
      </c>
      <c r="D13" s="6" t="n">
        <v>2023</v>
      </c>
      <c r="E13" s="6" t="inlineStr">
        <is>
          <t xml:space="preserve">Budget / osez entrepreunariat </t>
        </is>
      </c>
      <c r="F13" s="6" t="inlineStr">
        <is>
          <t>Conventioné</t>
        </is>
      </c>
      <c r="G13" s="6" t="inlineStr">
        <is>
          <t>2023-01-16</t>
        </is>
      </c>
      <c r="H13" s="6" t="inlineStr">
        <is>
          <t>2023-07-14</t>
        </is>
      </c>
      <c r="I13" s="6" t="n"/>
      <c r="J13" s="10" t="n"/>
      <c r="K13" s="10" t="n"/>
      <c r="L13" s="10" t="n"/>
      <c r="M13" s="10" t="n"/>
      <c r="N13" s="10" t="n"/>
      <c r="O13" s="10" t="n"/>
      <c r="P13" s="10" t="n"/>
      <c r="Q13" s="10" t="inlineStr">
        <is>
          <t>⬜ À enrichir</t>
        </is>
      </c>
      <c r="R13" s="10" t="n"/>
    </row>
    <row r="14" hidden="1" s="24">
      <c r="A14" s="6" t="n">
        <v>28</v>
      </c>
      <c r="B14" s="6" t="inlineStr">
        <is>
          <t>Carmen</t>
        </is>
      </c>
      <c r="C14" s="6" t="inlineStr">
        <is>
          <t>AMOUH</t>
        </is>
      </c>
      <c r="D14" s="6" t="n">
        <v>2023</v>
      </c>
      <c r="E14" s="6" t="inlineStr">
        <is>
          <t>rh</t>
        </is>
      </c>
      <c r="F14" s="6" t="inlineStr">
        <is>
          <t>Bénévole</t>
        </is>
      </c>
      <c r="G14" s="6" t="inlineStr">
        <is>
          <t>2023-01-18</t>
        </is>
      </c>
      <c r="H14" s="6" t="inlineStr">
        <is>
          <t>2025-12-14</t>
        </is>
      </c>
      <c r="I14" s="6" t="inlineStr">
        <is>
          <t>Alumni gratuit</t>
        </is>
      </c>
      <c r="J14" s="10" t="n"/>
      <c r="K14" s="10" t="n"/>
      <c r="L14" s="10" t="n"/>
      <c r="M14" s="10" t="n"/>
      <c r="N14" s="10" t="n"/>
      <c r="O14" s="10" t="n"/>
      <c r="P14" s="10" t="n"/>
      <c r="Q14" s="10" t="inlineStr">
        <is>
          <t>⬜ À enrichir</t>
        </is>
      </c>
      <c r="R14" s="10" t="n"/>
    </row>
    <row r="15" hidden="1" s="24">
      <c r="A15" s="6" t="n">
        <v>30</v>
      </c>
      <c r="B15" s="6" t="inlineStr">
        <is>
          <t>Holy Marlène</t>
        </is>
      </c>
      <c r="C15" s="6" t="inlineStr">
        <is>
          <t>ANDRIAMASY</t>
        </is>
      </c>
      <c r="D15" s="6" t="n">
        <v>2023</v>
      </c>
      <c r="E15" s="6" t="inlineStr">
        <is>
          <t>Data analyst</t>
        </is>
      </c>
      <c r="F15" s="6" t="inlineStr">
        <is>
          <t>Bénévole</t>
        </is>
      </c>
      <c r="G15" s="6" t="inlineStr">
        <is>
          <t>2023-01-16</t>
        </is>
      </c>
      <c r="H15" s="6" t="inlineStr">
        <is>
          <t>2023-04-14</t>
        </is>
      </c>
      <c r="I15" s="6" t="n"/>
      <c r="J15" s="10" t="n"/>
      <c r="K15" s="10" t="n"/>
      <c r="L15" s="10" t="n"/>
      <c r="M15" s="10" t="n"/>
      <c r="N15" s="10" t="n"/>
      <c r="O15" s="10" t="n"/>
      <c r="P15" s="10" t="n"/>
      <c r="Q15" s="10" t="inlineStr">
        <is>
          <t>⬜ À enrichir</t>
        </is>
      </c>
      <c r="R15" s="10" t="n"/>
    </row>
    <row r="16" hidden="1" s="24">
      <c r="A16" s="6" t="n">
        <v>34</v>
      </c>
      <c r="B16" s="6" t="inlineStr">
        <is>
          <t>Arzu</t>
        </is>
      </c>
      <c r="C16" s="6" t="inlineStr">
        <is>
          <t>ARDICLI</t>
        </is>
      </c>
      <c r="D16" s="6" t="n">
        <v>2023</v>
      </c>
      <c r="E16" s="6" t="inlineStr">
        <is>
          <t xml:space="preserve">Cartographie/ eco mobilité </t>
        </is>
      </c>
      <c r="F16" s="6" t="inlineStr">
        <is>
          <t>Bénévole</t>
        </is>
      </c>
      <c r="G16" s="6" t="inlineStr">
        <is>
          <t>2022-12-05</t>
        </is>
      </c>
      <c r="H16" s="6" t="inlineStr">
        <is>
          <t>2023-06-09</t>
        </is>
      </c>
      <c r="I16" s="6" t="n"/>
      <c r="J16" s="10" t="n"/>
      <c r="K16" s="10" t="n"/>
      <c r="L16" s="10" t="n"/>
      <c r="M16" s="10" t="n"/>
      <c r="N16" s="10" t="n"/>
      <c r="O16" s="10" t="n"/>
      <c r="P16" s="10" t="n"/>
      <c r="Q16" s="10" t="inlineStr">
        <is>
          <t>⬜ À enrichir</t>
        </is>
      </c>
      <c r="R16" s="10" t="n"/>
    </row>
    <row r="17" hidden="1" s="24">
      <c r="A17" s="6" t="n">
        <v>38</v>
      </c>
      <c r="B17" s="6" t="inlineStr">
        <is>
          <t>Foteini</t>
        </is>
      </c>
      <c r="C17" s="6" t="inlineStr">
        <is>
          <t>ATHANASOPOULOU</t>
        </is>
      </c>
      <c r="D17" s="6" t="n">
        <v>2023</v>
      </c>
      <c r="E17" s="6" t="inlineStr">
        <is>
          <t xml:space="preserve">Eco-conso scientifique </t>
        </is>
      </c>
      <c r="F17" s="6" t="inlineStr">
        <is>
          <t>Bénévole</t>
        </is>
      </c>
      <c r="G17" s="6" t="inlineStr">
        <is>
          <t>2022-11-09</t>
        </is>
      </c>
      <c r="H17" s="6" t="inlineStr">
        <is>
          <t>2023-05-26</t>
        </is>
      </c>
      <c r="I17" s="6" t="n"/>
      <c r="J17" s="10" t="n"/>
      <c r="K17" s="10" t="n"/>
      <c r="L17" s="10" t="n"/>
      <c r="M17" s="10" t="n"/>
      <c r="N17" s="10" t="n"/>
      <c r="O17" s="10" t="n"/>
      <c r="P17" s="10" t="n"/>
      <c r="Q17" s="10" t="inlineStr">
        <is>
          <t>⬜ À enrichir</t>
        </is>
      </c>
      <c r="R17" s="10" t="n"/>
    </row>
    <row r="18" hidden="1" s="24">
      <c r="A18" s="6" t="n">
        <v>40</v>
      </c>
      <c r="B18" s="6" t="inlineStr">
        <is>
          <t>Edouard</t>
        </is>
      </c>
      <c r="C18" s="6" t="inlineStr">
        <is>
          <t>AUSSEDAT</t>
        </is>
      </c>
      <c r="D18" s="6" t="n">
        <v>2023</v>
      </c>
      <c r="E18" s="6" t="inlineStr">
        <is>
          <t>Formateur pédagogique</t>
        </is>
      </c>
      <c r="F18" s="6" t="inlineStr">
        <is>
          <t>Bénévole</t>
        </is>
      </c>
      <c r="G18" s="6" t="inlineStr">
        <is>
          <t>2022-08-30</t>
        </is>
      </c>
      <c r="H18" s="6" t="inlineStr">
        <is>
          <t>2023-03-17</t>
        </is>
      </c>
      <c r="I18" s="6" t="inlineStr">
        <is>
          <t>Alumni gratuit</t>
        </is>
      </c>
      <c r="J18" s="10" t="n"/>
      <c r="K18" s="10" t="n"/>
      <c r="L18" s="10" t="n"/>
      <c r="M18" s="10" t="n"/>
      <c r="N18" s="10" t="n"/>
      <c r="O18" s="10" t="n"/>
      <c r="P18" s="10" t="n"/>
      <c r="Q18" s="10" t="inlineStr">
        <is>
          <t>⬜ À enrichir</t>
        </is>
      </c>
      <c r="R18" s="10" t="n"/>
    </row>
    <row r="19" hidden="1" s="24">
      <c r="A19" s="6" t="n">
        <v>44</v>
      </c>
      <c r="B19" s="6" t="inlineStr">
        <is>
          <t>Arhamatou</t>
        </is>
      </c>
      <c r="C19" s="6" t="inlineStr">
        <is>
          <t>Abdourhamane</t>
        </is>
      </c>
      <c r="D19" s="6" t="n">
        <v>2023</v>
      </c>
      <c r="E19" s="6" t="inlineStr">
        <is>
          <t>Budget/ Pré-Analayse</t>
        </is>
      </c>
      <c r="F19" s="6" t="inlineStr">
        <is>
          <t>Conventioné</t>
        </is>
      </c>
      <c r="G19" s="6" t="inlineStr">
        <is>
          <t>2023-06-13</t>
        </is>
      </c>
      <c r="H19" s="6" t="inlineStr">
        <is>
          <t>2023-09-15</t>
        </is>
      </c>
      <c r="I19" s="6" t="n"/>
      <c r="J19" s="10" t="n"/>
      <c r="K19" s="10" t="n"/>
      <c r="L19" s="10" t="n"/>
      <c r="M19" s="10" t="n"/>
      <c r="N19" s="10" t="n"/>
      <c r="O19" s="10" t="n"/>
      <c r="P19" s="10" t="n"/>
      <c r="Q19" s="10" t="inlineStr">
        <is>
          <t>⬜ À enrichir</t>
        </is>
      </c>
      <c r="R19" s="10" t="n"/>
    </row>
    <row r="20" hidden="1" s="24">
      <c r="A20" s="6" t="n">
        <v>52</v>
      </c>
      <c r="B20" s="6" t="inlineStr">
        <is>
          <t>Kumud</t>
        </is>
      </c>
      <c r="C20" s="6" t="inlineStr">
        <is>
          <t>BADERIYA</t>
        </is>
      </c>
      <c r="D20" s="6" t="n">
        <v>2023</v>
      </c>
      <c r="E20" s="6" t="inlineStr">
        <is>
          <t>PAC/ Green id</t>
        </is>
      </c>
      <c r="F20" s="6" t="inlineStr">
        <is>
          <t>Bénévole</t>
        </is>
      </c>
      <c r="G20" s="6" t="inlineStr">
        <is>
          <t>2022-11-03</t>
        </is>
      </c>
      <c r="H20" s="6" t="inlineStr">
        <is>
          <t>2023-05-26</t>
        </is>
      </c>
      <c r="I20" s="6" t="n"/>
      <c r="J20" s="10" t="n"/>
      <c r="K20" s="10" t="n"/>
      <c r="L20" s="10" t="n"/>
      <c r="M20" s="10" t="n"/>
      <c r="N20" s="10" t="n"/>
      <c r="O20" s="10" t="n"/>
      <c r="P20" s="10" t="n"/>
      <c r="Q20" s="10" t="inlineStr">
        <is>
          <t>⬜ À enrichir</t>
        </is>
      </c>
      <c r="R20" s="10" t="n"/>
    </row>
    <row r="21" hidden="1" ht="15.75" customHeight="1" s="24">
      <c r="A21" s="6" t="n">
        <v>53</v>
      </c>
      <c r="B21" s="6" t="inlineStr">
        <is>
          <t>AROUA</t>
        </is>
      </c>
      <c r="C21" s="6" t="inlineStr">
        <is>
          <t>BALAYIRA</t>
        </is>
      </c>
      <c r="D21" s="6" t="n">
        <v>2023</v>
      </c>
      <c r="E21" s="6" t="inlineStr">
        <is>
          <t>Budget Admin/ osez l'entrpreunariat</t>
        </is>
      </c>
      <c r="F21" s="6" t="inlineStr">
        <is>
          <t>Conventioné</t>
        </is>
      </c>
      <c r="G21" s="6" t="inlineStr">
        <is>
          <t>2023-06-12</t>
        </is>
      </c>
      <c r="H21" s="6" t="inlineStr">
        <is>
          <t>2023-12-15</t>
        </is>
      </c>
      <c r="I21" s="6" t="n"/>
      <c r="J21" s="10" t="n"/>
      <c r="K21" s="10" t="n"/>
      <c r="L21" s="10" t="n"/>
      <c r="M21" s="10" t="n"/>
      <c r="N21" s="10" t="n"/>
      <c r="O21" s="10" t="n"/>
      <c r="P21" s="10" t="n"/>
      <c r="Q21" s="10" t="inlineStr">
        <is>
          <t>⬜ À enrichir</t>
        </is>
      </c>
      <c r="R21" s="10" t="n"/>
    </row>
    <row r="22" hidden="1" ht="15.75" customHeight="1" s="24">
      <c r="A22" s="6" t="n">
        <v>57</v>
      </c>
      <c r="B22" s="6" t="inlineStr">
        <is>
          <t>Aurélie</t>
        </is>
      </c>
      <c r="C22" s="6" t="inlineStr">
        <is>
          <t>BARBIER</t>
        </is>
      </c>
      <c r="D22" s="6" t="n">
        <v>2023</v>
      </c>
      <c r="E22" s="6" t="inlineStr">
        <is>
          <t>Coach</t>
        </is>
      </c>
      <c r="F22" s="6" t="inlineStr">
        <is>
          <t>Bénévole</t>
        </is>
      </c>
      <c r="G22" s="6" t="inlineStr">
        <is>
          <t>2023-04-19</t>
        </is>
      </c>
      <c r="H22" s="6" t="inlineStr">
        <is>
          <t>2023-10-20</t>
        </is>
      </c>
      <c r="I22" s="6" t="n"/>
      <c r="J22" s="10" t="n"/>
      <c r="K22" s="10" t="n"/>
      <c r="L22" s="10" t="n"/>
      <c r="M22" s="10" t="n"/>
      <c r="N22" s="10" t="n"/>
      <c r="O22" s="10" t="n"/>
      <c r="P22" s="10" t="n"/>
      <c r="Q22" s="10" t="inlineStr">
        <is>
          <t>⬜ À enrichir</t>
        </is>
      </c>
      <c r="R22" s="10" t="n"/>
    </row>
    <row r="23" hidden="1" ht="15.75" customHeight="1" s="24">
      <c r="A23" s="6" t="n">
        <v>58</v>
      </c>
      <c r="B23" s="6" t="inlineStr">
        <is>
          <t>Benjamin</t>
        </is>
      </c>
      <c r="C23" s="6" t="inlineStr">
        <is>
          <t>BARDET</t>
        </is>
      </c>
      <c r="D23" s="6" t="n">
        <v>2023</v>
      </c>
      <c r="E23" s="6" t="inlineStr">
        <is>
          <t>IT</t>
        </is>
      </c>
      <c r="F23" s="6" t="inlineStr">
        <is>
          <t>Conventioné</t>
        </is>
      </c>
      <c r="G23" s="6" t="inlineStr">
        <is>
          <t>2023-02-03</t>
        </is>
      </c>
      <c r="H23" s="6" t="inlineStr">
        <is>
          <t>2023-05-19</t>
        </is>
      </c>
      <c r="I23" s="6" t="n"/>
      <c r="J23" s="10" t="n"/>
      <c r="K23" s="10" t="n"/>
      <c r="L23" s="10" t="n"/>
      <c r="M23" s="10" t="n"/>
      <c r="N23" s="10" t="n"/>
      <c r="O23" s="10" t="n"/>
      <c r="P23" s="10" t="n"/>
      <c r="Q23" s="10" t="inlineStr">
        <is>
          <t>⬜ À enrichir</t>
        </is>
      </c>
      <c r="R23" s="10" t="n"/>
    </row>
    <row r="24" hidden="1" ht="15.75" customHeight="1" s="24">
      <c r="A24" s="6" t="n">
        <v>59</v>
      </c>
      <c r="B24" s="6" t="inlineStr">
        <is>
          <t>Mahdi</t>
        </is>
      </c>
      <c r="C24" s="6" t="inlineStr">
        <is>
          <t>BECHIM</t>
        </is>
      </c>
      <c r="D24" s="6" t="n">
        <v>2023</v>
      </c>
      <c r="E24" s="6" t="inlineStr">
        <is>
          <t>RH</t>
        </is>
      </c>
      <c r="F24" s="6" t="inlineStr">
        <is>
          <t>Bénévole</t>
        </is>
      </c>
      <c r="G24" s="6" t="inlineStr">
        <is>
          <t>2023-06-28</t>
        </is>
      </c>
      <c r="H24" s="6" t="inlineStr">
        <is>
          <t>2023-09-29</t>
        </is>
      </c>
      <c r="I24" s="6" t="n"/>
      <c r="J24" s="10" t="n"/>
      <c r="K24" s="10" t="n"/>
      <c r="L24" s="10" t="n"/>
      <c r="M24" s="10" t="n"/>
      <c r="N24" s="10" t="n"/>
      <c r="O24" s="10" t="n"/>
      <c r="P24" s="10" t="n"/>
      <c r="Q24" s="10" t="inlineStr">
        <is>
          <t>⬜ À enrichir</t>
        </is>
      </c>
      <c r="R24" s="10" t="n"/>
    </row>
    <row r="25" hidden="1" ht="15.75" customHeight="1" s="24">
      <c r="A25" s="6" t="n">
        <v>62</v>
      </c>
      <c r="B25" s="6" t="inlineStr">
        <is>
          <t>Bradley</t>
        </is>
      </c>
      <c r="C25" s="6" t="inlineStr">
        <is>
          <t>BELINGA</t>
        </is>
      </c>
      <c r="D25" s="6" t="n">
        <v>2023</v>
      </c>
      <c r="E25" s="6" t="inlineStr">
        <is>
          <t>CM/ Branding/ Partenariat</t>
        </is>
      </c>
      <c r="F25" s="6" t="inlineStr">
        <is>
          <t>Bénévole</t>
        </is>
      </c>
      <c r="G25" s="6" t="inlineStr">
        <is>
          <t>2023-03-07</t>
        </is>
      </c>
      <c r="H25" s="6" t="inlineStr">
        <is>
          <t>2023-09-08</t>
        </is>
      </c>
      <c r="I25" s="6" t="n"/>
      <c r="J25" s="10" t="n"/>
      <c r="K25" s="10" t="n"/>
      <c r="L25" s="10" t="n"/>
      <c r="M25" s="10" t="n"/>
      <c r="N25" s="10" t="n"/>
      <c r="O25" s="10" t="n"/>
      <c r="P25" s="10" t="n"/>
      <c r="Q25" s="10" t="inlineStr">
        <is>
          <t>⬜ À enrichir</t>
        </is>
      </c>
      <c r="R25" s="10" t="n"/>
    </row>
    <row r="26" hidden="1" ht="15.75" customHeight="1" s="24">
      <c r="A26" s="6" t="n">
        <v>67</v>
      </c>
      <c r="B26" s="6" t="inlineStr">
        <is>
          <t>Hafedh</t>
        </is>
      </c>
      <c r="C26" s="6" t="inlineStr">
        <is>
          <t>BEN DHIA</t>
        </is>
      </c>
      <c r="D26" s="6" t="n">
        <v>2023</v>
      </c>
      <c r="E26" s="6" t="inlineStr">
        <is>
          <t>IT</t>
        </is>
      </c>
      <c r="F26" s="6" t="inlineStr">
        <is>
          <t>Bénévole</t>
        </is>
      </c>
      <c r="G26" s="6" t="inlineStr">
        <is>
          <t>2023-06-15</t>
        </is>
      </c>
      <c r="H26" s="6" t="inlineStr">
        <is>
          <t>2023-09-15</t>
        </is>
      </c>
      <c r="I26" s="6" t="n"/>
      <c r="J26" s="10" t="n"/>
      <c r="K26" s="10" t="n"/>
      <c r="L26" s="10" t="n"/>
      <c r="M26" s="10" t="n"/>
      <c r="N26" s="10" t="n"/>
      <c r="O26" s="10" t="n"/>
      <c r="P26" s="10" t="n"/>
      <c r="Q26" s="10" t="inlineStr">
        <is>
          <t>⬜ À enrichir</t>
        </is>
      </c>
      <c r="R26" s="10" t="n"/>
    </row>
    <row r="27" hidden="1" ht="15.75" customHeight="1" s="24">
      <c r="A27" s="6" t="n">
        <v>70</v>
      </c>
      <c r="B27" s="6" t="inlineStr">
        <is>
          <t>Oumayma</t>
        </is>
      </c>
      <c r="C27" s="6" t="inlineStr">
        <is>
          <t>BEN RACHED</t>
        </is>
      </c>
      <c r="D27" s="6" t="n">
        <v>2023</v>
      </c>
      <c r="E27" s="6" t="inlineStr">
        <is>
          <t>éco geste et Scientifique</t>
        </is>
      </c>
      <c r="F27" s="6" t="inlineStr">
        <is>
          <t>Bénévole</t>
        </is>
      </c>
      <c r="G27" s="6" t="inlineStr">
        <is>
          <t>2023-04-03</t>
        </is>
      </c>
      <c r="H27" s="6" t="inlineStr">
        <is>
          <t>2023-10-06</t>
        </is>
      </c>
      <c r="I27" s="6" t="n"/>
      <c r="J27" s="10" t="n"/>
      <c r="K27" s="10" t="n"/>
      <c r="L27" s="10" t="n"/>
      <c r="M27" s="10" t="n"/>
      <c r="N27" s="10" t="n"/>
      <c r="O27" s="10" t="n"/>
      <c r="P27" s="10" t="n"/>
      <c r="Q27" s="10" t="inlineStr">
        <is>
          <t>⬜ À enrichir</t>
        </is>
      </c>
      <c r="R27" s="10" t="n"/>
    </row>
    <row r="28" hidden="1" ht="15.75" customHeight="1" s="24">
      <c r="A28" s="6" t="n">
        <v>71</v>
      </c>
      <c r="B28" s="6" t="inlineStr">
        <is>
          <t>Amira</t>
        </is>
      </c>
      <c r="C28" s="6" t="inlineStr">
        <is>
          <t>BEN SOLTANE</t>
        </is>
      </c>
      <c r="D28" s="6" t="n">
        <v>2023</v>
      </c>
      <c r="E28" s="6" t="inlineStr">
        <is>
          <t xml:space="preserve">Statistiques/ Formation </t>
        </is>
      </c>
      <c r="F28" s="6" t="inlineStr">
        <is>
          <t>Conventioné</t>
        </is>
      </c>
      <c r="G28" s="6" t="inlineStr">
        <is>
          <t>2023-12-12</t>
        </is>
      </c>
      <c r="H28" s="6" t="inlineStr">
        <is>
          <t>2024-05-31</t>
        </is>
      </c>
      <c r="I28" s="6" t="n"/>
      <c r="J28" s="10" t="n"/>
      <c r="K28" s="10" t="n"/>
      <c r="L28" s="10" t="n"/>
      <c r="M28" s="10" t="n"/>
      <c r="N28" s="10" t="n"/>
      <c r="O28" s="10" t="n"/>
      <c r="P28" s="10" t="n"/>
      <c r="Q28" s="10" t="inlineStr">
        <is>
          <t>⬜ À enrichir</t>
        </is>
      </c>
      <c r="R28" s="10" t="n"/>
    </row>
    <row r="29" hidden="1" ht="15.75" customHeight="1" s="24">
      <c r="A29" s="6" t="n">
        <v>72</v>
      </c>
      <c r="B29" s="6" t="inlineStr">
        <is>
          <t>Rayan</t>
        </is>
      </c>
      <c r="C29" s="6" t="inlineStr">
        <is>
          <t>BENGUEDIH</t>
        </is>
      </c>
      <c r="D29" s="6" t="n">
        <v>2023</v>
      </c>
      <c r="E29" s="6" t="inlineStr">
        <is>
          <t>Statistiques</t>
        </is>
      </c>
      <c r="F29" s="6" t="inlineStr">
        <is>
          <t>Bénévole</t>
        </is>
      </c>
      <c r="G29" s="6" t="inlineStr">
        <is>
          <t>2023-04-04</t>
        </is>
      </c>
      <c r="H29" s="6" t="inlineStr">
        <is>
          <t>2023-08-04</t>
        </is>
      </c>
      <c r="I29" s="6" t="inlineStr">
        <is>
          <t>Alumni gratuit</t>
        </is>
      </c>
      <c r="J29" s="10" t="n"/>
      <c r="K29" s="10" t="n"/>
      <c r="L29" s="10" t="n"/>
      <c r="M29" s="10" t="n"/>
      <c r="N29" s="10" t="n"/>
      <c r="O29" s="10" t="n"/>
      <c r="P29" s="10" t="n"/>
      <c r="Q29" s="10" t="inlineStr">
        <is>
          <t>⬜ À enrichir</t>
        </is>
      </c>
      <c r="R29" s="10" t="n"/>
    </row>
    <row r="30" hidden="1" ht="15.75" customHeight="1" s="24">
      <c r="A30" s="6" t="n">
        <v>74</v>
      </c>
      <c r="B30" s="6" t="inlineStr">
        <is>
          <t>Enzo</t>
        </is>
      </c>
      <c r="C30" s="6" t="inlineStr">
        <is>
          <t>BIANCU</t>
        </is>
      </c>
      <c r="D30" s="6" t="n">
        <v>2023</v>
      </c>
      <c r="E30" s="6" t="inlineStr">
        <is>
          <t>CM/ Partenariat</t>
        </is>
      </c>
      <c r="F30" s="6" t="inlineStr">
        <is>
          <t>Conventioné</t>
        </is>
      </c>
      <c r="G30" s="6" t="inlineStr">
        <is>
          <t>2023-01-31</t>
        </is>
      </c>
      <c r="H30" s="6" t="inlineStr">
        <is>
          <t>2023-07-28</t>
        </is>
      </c>
      <c r="I30" s="6" t="n"/>
      <c r="J30" s="10" t="n"/>
      <c r="K30" s="10" t="n"/>
      <c r="L30" s="10" t="n"/>
      <c r="M30" s="10" t="n"/>
      <c r="N30" s="10" t="n"/>
      <c r="O30" s="10" t="n"/>
      <c r="P30" s="10" t="n"/>
      <c r="Q30" s="10" t="inlineStr">
        <is>
          <t>⬜ À enrichir</t>
        </is>
      </c>
      <c r="R30" s="10" t="n"/>
    </row>
    <row r="31" hidden="1" ht="15.75" customHeight="1" s="24">
      <c r="A31" s="6" t="n">
        <v>75</v>
      </c>
      <c r="B31" s="6" t="inlineStr">
        <is>
          <t>Aïcha</t>
        </is>
      </c>
      <c r="C31" s="6" t="inlineStr">
        <is>
          <t>BIBI</t>
        </is>
      </c>
      <c r="D31" s="6" t="n">
        <v>2023</v>
      </c>
      <c r="E31" s="6" t="inlineStr">
        <is>
          <t>IT</t>
        </is>
      </c>
      <c r="F31" s="6" t="inlineStr">
        <is>
          <t>Conventioné</t>
        </is>
      </c>
      <c r="G31" s="6" t="inlineStr">
        <is>
          <t>2023-04-20</t>
        </is>
      </c>
      <c r="H31" s="6" t="inlineStr">
        <is>
          <t>2023-09-20</t>
        </is>
      </c>
      <c r="I31" s="6" t="n"/>
      <c r="J31" s="10" t="n"/>
      <c r="K31" s="10" t="n"/>
      <c r="L31" s="10" t="n"/>
      <c r="M31" s="10" t="n"/>
      <c r="N31" s="10" t="n"/>
      <c r="O31" s="10" t="n"/>
      <c r="P31" s="10" t="n"/>
      <c r="Q31" s="10" t="inlineStr">
        <is>
          <t>⬜ À enrichir</t>
        </is>
      </c>
      <c r="R31" s="10" t="n"/>
    </row>
    <row r="32" hidden="1" ht="15.75" customHeight="1" s="24">
      <c r="A32" s="6" t="n">
        <v>78</v>
      </c>
      <c r="B32" s="6" t="inlineStr">
        <is>
          <t>Bouwèreou</t>
        </is>
      </c>
      <c r="C32" s="6" t="inlineStr">
        <is>
          <t>BIGNAN-KAGOMNA</t>
        </is>
      </c>
      <c r="D32" s="6" t="n">
        <v>2023</v>
      </c>
      <c r="E32" s="6" t="inlineStr">
        <is>
          <t xml:space="preserve">GCBO/ architecture /publication </t>
        </is>
      </c>
      <c r="F32" s="6" t="inlineStr">
        <is>
          <t>Bénévole</t>
        </is>
      </c>
      <c r="G32" s="6" t="inlineStr">
        <is>
          <t>2023-07-08</t>
        </is>
      </c>
      <c r="H32" s="6" t="inlineStr">
        <is>
          <t>2023-11-10</t>
        </is>
      </c>
      <c r="I32" s="6" t="n"/>
      <c r="J32" s="10" t="n"/>
      <c r="K32" s="10" t="n"/>
      <c r="L32" s="10" t="n"/>
      <c r="M32" s="10" t="n"/>
      <c r="N32" s="10" t="n"/>
      <c r="O32" s="10" t="n"/>
      <c r="P32" s="10" t="n"/>
      <c r="Q32" s="10" t="inlineStr">
        <is>
          <t>⬜ À enrichir</t>
        </is>
      </c>
      <c r="R32" s="10" t="n"/>
    </row>
    <row r="33" hidden="1" ht="15.75" customHeight="1" s="24">
      <c r="A33" s="6" t="n">
        <v>80</v>
      </c>
      <c r="B33" s="6" t="inlineStr">
        <is>
          <t>Andy</t>
        </is>
      </c>
      <c r="C33" s="6" t="inlineStr">
        <is>
          <t>BLONDELLE</t>
        </is>
      </c>
      <c r="D33" s="6" t="n">
        <v>2023</v>
      </c>
      <c r="E33" s="6" t="inlineStr">
        <is>
          <t>IT</t>
        </is>
      </c>
      <c r="F33" s="6" t="inlineStr">
        <is>
          <t>Conventioné</t>
        </is>
      </c>
      <c r="G33" s="6" t="inlineStr">
        <is>
          <t>2023-01-03</t>
        </is>
      </c>
      <c r="H33" s="6" t="inlineStr">
        <is>
          <t>2023-04-14</t>
        </is>
      </c>
      <c r="I33" s="6" t="n"/>
      <c r="J33" s="10" t="n"/>
      <c r="K33" s="10" t="n"/>
      <c r="L33" s="10" t="n"/>
      <c r="M33" s="10" t="n"/>
      <c r="N33" s="10" t="n"/>
      <c r="O33" s="10" t="n"/>
      <c r="P33" s="10" t="n"/>
      <c r="Q33" s="10" t="inlineStr">
        <is>
          <t>⬜ À enrichir</t>
        </is>
      </c>
      <c r="R33" s="10" t="n"/>
    </row>
    <row r="34" hidden="1" ht="15.75" customHeight="1" s="24">
      <c r="A34" s="6" t="n">
        <v>81</v>
      </c>
      <c r="B34" s="6" t="inlineStr">
        <is>
          <t>Lobna</t>
        </is>
      </c>
      <c r="C34" s="6" t="inlineStr">
        <is>
          <t>BOUALLEGUE</t>
        </is>
      </c>
      <c r="D34" s="6" t="n">
        <v>2023</v>
      </c>
      <c r="E34" s="6" t="inlineStr">
        <is>
          <t>IT</t>
        </is>
      </c>
      <c r="F34" s="6" t="inlineStr">
        <is>
          <t>Conventioné</t>
        </is>
      </c>
      <c r="G34" s="6" t="inlineStr">
        <is>
          <t>2023-05-04</t>
        </is>
      </c>
      <c r="H34" s="6" t="inlineStr">
        <is>
          <t>2023-11-03</t>
        </is>
      </c>
      <c r="I34" s="6" t="n"/>
      <c r="J34" s="10" t="n"/>
      <c r="K34" s="10" t="n"/>
      <c r="L34" s="10" t="n"/>
      <c r="M34" s="10" t="n"/>
      <c r="N34" s="10" t="n"/>
      <c r="O34" s="10" t="n"/>
      <c r="P34" s="10" t="n"/>
      <c r="Q34" s="10" t="inlineStr">
        <is>
          <t>⬜ À enrichir</t>
        </is>
      </c>
      <c r="R34" s="10" t="n"/>
    </row>
    <row r="35" hidden="1" ht="15.75" customHeight="1" s="24">
      <c r="A35" s="6" t="n">
        <v>84</v>
      </c>
      <c r="B35" s="6" t="inlineStr">
        <is>
          <t>Julie</t>
        </is>
      </c>
      <c r="C35" s="6" t="inlineStr">
        <is>
          <t>BOURGERY</t>
        </is>
      </c>
      <c r="D35" s="6" t="n">
        <v>2023</v>
      </c>
      <c r="E35" s="6" t="inlineStr">
        <is>
          <t>RH</t>
        </is>
      </c>
      <c r="F35" s="6" t="inlineStr">
        <is>
          <t>Bénévole</t>
        </is>
      </c>
      <c r="G35" s="6" t="inlineStr">
        <is>
          <t>2022-04-06</t>
        </is>
      </c>
      <c r="H35" s="6" t="inlineStr">
        <is>
          <t>2022-10-07</t>
        </is>
      </c>
      <c r="I35" s="6" t="n"/>
      <c r="J35" s="10" t="n"/>
      <c r="K35" s="10" t="n"/>
      <c r="L35" s="10" t="n"/>
      <c r="M35" s="10" t="n"/>
      <c r="N35" s="10" t="n"/>
      <c r="O35" s="10" t="n"/>
      <c r="P35" s="10" t="n"/>
      <c r="Q35" s="10" t="inlineStr">
        <is>
          <t>⬜ À enrichir</t>
        </is>
      </c>
      <c r="R35" s="10" t="n"/>
    </row>
    <row r="36" hidden="1" ht="15.75" customHeight="1" s="24">
      <c r="A36" s="6" t="n">
        <v>85</v>
      </c>
      <c r="B36" s="6" t="inlineStr">
        <is>
          <t>Anais</t>
        </is>
      </c>
      <c r="C36" s="6" t="inlineStr">
        <is>
          <t>BRANDT</t>
        </is>
      </c>
      <c r="D36" s="6" t="n">
        <v>2023</v>
      </c>
      <c r="E36" s="6" t="inlineStr">
        <is>
          <t>Coach</t>
        </is>
      </c>
      <c r="F36" s="6" t="inlineStr">
        <is>
          <t>Bénévole</t>
        </is>
      </c>
      <c r="G36" s="6" t="inlineStr">
        <is>
          <t>2023-05-24</t>
        </is>
      </c>
      <c r="H36" s="6" t="inlineStr">
        <is>
          <t>2023-08-25</t>
        </is>
      </c>
      <c r="I36" s="6" t="n"/>
      <c r="J36" s="10" t="n"/>
      <c r="K36" s="10" t="n"/>
      <c r="L36" s="10" t="n"/>
      <c r="M36" s="10" t="n"/>
      <c r="N36" s="10" t="n"/>
      <c r="O36" s="10" t="n"/>
      <c r="P36" s="10" t="n"/>
      <c r="Q36" s="10" t="inlineStr">
        <is>
          <t>⬜ À enrichir</t>
        </is>
      </c>
      <c r="R36" s="10" t="n"/>
    </row>
    <row r="37" hidden="1" ht="15.75" customHeight="1" s="24">
      <c r="A37" s="6" t="n">
        <v>86</v>
      </c>
      <c r="B37" s="6" t="inlineStr">
        <is>
          <t>Jayson</t>
        </is>
      </c>
      <c r="C37" s="6" t="inlineStr">
        <is>
          <t>BREMENT</t>
        </is>
      </c>
      <c r="D37" s="6" t="n">
        <v>2023</v>
      </c>
      <c r="E37" s="6" t="inlineStr">
        <is>
          <t>IT</t>
        </is>
      </c>
      <c r="F37" s="6" t="inlineStr">
        <is>
          <t>Conventioné</t>
        </is>
      </c>
      <c r="G37" s="6" t="inlineStr">
        <is>
          <t>2023-08-24</t>
        </is>
      </c>
      <c r="H37" s="6" t="inlineStr">
        <is>
          <t>2023-11-15</t>
        </is>
      </c>
      <c r="I37" s="6" t="n"/>
      <c r="J37" s="10" t="n"/>
      <c r="K37" s="10" t="n"/>
      <c r="L37" s="10" t="n"/>
      <c r="M37" s="10" t="n"/>
      <c r="N37" s="10" t="n"/>
      <c r="O37" s="10" t="n"/>
      <c r="P37" s="10" t="n"/>
      <c r="Q37" s="10" t="inlineStr">
        <is>
          <t>⬜ À enrichir</t>
        </is>
      </c>
      <c r="R37" s="10" t="n"/>
    </row>
    <row r="38" hidden="1" ht="15.75" customHeight="1" s="24">
      <c r="A38" s="6" t="n">
        <v>87</v>
      </c>
      <c r="B38" s="6" t="inlineStr">
        <is>
          <t>Bénedicte</t>
        </is>
      </c>
      <c r="C38" s="6" t="inlineStr">
        <is>
          <t>BROCHU</t>
        </is>
      </c>
      <c r="D38" s="6" t="n">
        <v>2023</v>
      </c>
      <c r="E38" s="6" t="inlineStr">
        <is>
          <t>Coach</t>
        </is>
      </c>
      <c r="F38" s="6" t="inlineStr">
        <is>
          <t>Bénévole</t>
        </is>
      </c>
      <c r="G38" s="6" t="inlineStr">
        <is>
          <t>2022-09-12</t>
        </is>
      </c>
      <c r="H38" s="6" t="inlineStr">
        <is>
          <t>2023-04-07</t>
        </is>
      </c>
      <c r="I38" s="6" t="n"/>
      <c r="J38" s="10" t="n"/>
      <c r="K38" s="10" t="n"/>
      <c r="L38" s="10" t="n"/>
      <c r="M38" s="10" t="n"/>
      <c r="N38" s="10" t="n"/>
      <c r="O38" s="10" t="n"/>
      <c r="P38" s="10" t="n"/>
      <c r="Q38" s="10" t="inlineStr">
        <is>
          <t>⬜ À enrichir</t>
        </is>
      </c>
      <c r="R38" s="10" t="n"/>
    </row>
    <row r="39" hidden="1" ht="15.75" customHeight="1" s="24">
      <c r="A39" s="6" t="n">
        <v>89</v>
      </c>
      <c r="B39" s="6" t="inlineStr">
        <is>
          <t>Viviane</t>
        </is>
      </c>
      <c r="C39" s="6" t="inlineStr">
        <is>
          <t>BRUNET</t>
        </is>
      </c>
      <c r="D39" s="6" t="n">
        <v>2023</v>
      </c>
      <c r="E39" s="6" t="inlineStr">
        <is>
          <t>RH</t>
        </is>
      </c>
      <c r="F39" s="6" t="inlineStr">
        <is>
          <t>Conventioné</t>
        </is>
      </c>
      <c r="G39" s="6" t="inlineStr">
        <is>
          <t>2023-04-26</t>
        </is>
      </c>
      <c r="H39" s="6" t="inlineStr">
        <is>
          <t>2023-07-28</t>
        </is>
      </c>
      <c r="I39" s="6" t="n"/>
      <c r="J39" s="10" t="n"/>
      <c r="K39" s="10" t="n"/>
      <c r="L39" s="10" t="n"/>
      <c r="M39" s="10" t="n"/>
      <c r="N39" s="10" t="n"/>
      <c r="O39" s="10" t="n"/>
      <c r="P39" s="10" t="n"/>
      <c r="Q39" s="10" t="inlineStr">
        <is>
          <t>⬜ À enrichir</t>
        </is>
      </c>
      <c r="R39" s="10" t="n"/>
    </row>
    <row r="40" hidden="1" ht="15.75" customHeight="1" s="24">
      <c r="A40" s="6" t="n">
        <v>91</v>
      </c>
      <c r="B40" s="6" t="inlineStr">
        <is>
          <t>Katarina</t>
        </is>
      </c>
      <c r="C40" s="6" t="inlineStr">
        <is>
          <t>BUKVIC</t>
        </is>
      </c>
      <c r="D40" s="6" t="n">
        <v>2023</v>
      </c>
      <c r="E40" s="6" t="inlineStr">
        <is>
          <t>RH</t>
        </is>
      </c>
      <c r="F40" s="6" t="inlineStr">
        <is>
          <t>Conventioné</t>
        </is>
      </c>
      <c r="G40" s="6" t="inlineStr">
        <is>
          <t>2023-03-13</t>
        </is>
      </c>
      <c r="H40" s="6" t="inlineStr">
        <is>
          <t>2023-06-16</t>
        </is>
      </c>
      <c r="I40" s="6" t="n"/>
      <c r="J40" s="10" t="n"/>
      <c r="K40" s="10" t="n"/>
      <c r="L40" s="10" t="n"/>
      <c r="M40" s="10" t="n"/>
      <c r="N40" s="10" t="n"/>
      <c r="O40" s="10" t="n"/>
      <c r="P40" s="10" t="n"/>
      <c r="Q40" s="10" t="inlineStr">
        <is>
          <t>⬜ À enrichir</t>
        </is>
      </c>
      <c r="R40" s="10" t="n"/>
    </row>
    <row r="41" hidden="1" ht="15.75" customHeight="1" s="24">
      <c r="A41" s="6" t="n">
        <v>93</v>
      </c>
      <c r="B41" s="6" t="inlineStr">
        <is>
          <t>Naoufel</t>
        </is>
      </c>
      <c r="C41" s="6" t="inlineStr">
        <is>
          <t>Bekkal</t>
        </is>
      </c>
      <c r="D41" s="6" t="n">
        <v>2023</v>
      </c>
      <c r="E41" s="6" t="inlineStr">
        <is>
          <t>For mation publication</t>
        </is>
      </c>
      <c r="F41" s="6" t="inlineStr">
        <is>
          <t>Bénévole</t>
        </is>
      </c>
      <c r="G41" s="6" t="inlineStr">
        <is>
          <t>2023-03-07</t>
        </is>
      </c>
      <c r="H41" s="6" t="inlineStr">
        <is>
          <t>2023-09-08</t>
        </is>
      </c>
      <c r="I41" s="6" t="n"/>
      <c r="J41" s="10" t="n"/>
      <c r="K41" s="10" t="n"/>
      <c r="L41" s="10" t="n"/>
      <c r="M41" s="10" t="n"/>
      <c r="N41" s="10" t="n"/>
      <c r="O41" s="10" t="n"/>
      <c r="P41" s="10" t="n"/>
      <c r="Q41" s="10" t="inlineStr">
        <is>
          <t>⬜ À enrichir</t>
        </is>
      </c>
      <c r="R41" s="10" t="n"/>
    </row>
    <row r="42" hidden="1" ht="15.75" customHeight="1" s="24">
      <c r="A42" s="6" t="n">
        <v>94</v>
      </c>
      <c r="B42" s="6" t="inlineStr">
        <is>
          <t>Nadia</t>
        </is>
      </c>
      <c r="C42" s="6" t="inlineStr">
        <is>
          <t>Benyamina</t>
        </is>
      </c>
      <c r="D42" s="6" t="n">
        <v>2023</v>
      </c>
      <c r="E42" s="6" t="inlineStr">
        <is>
          <t>IT</t>
        </is>
      </c>
      <c r="F42" s="6" t="inlineStr">
        <is>
          <t>Conventioné</t>
        </is>
      </c>
      <c r="G42" s="6" t="inlineStr">
        <is>
          <t>2023-03-09</t>
        </is>
      </c>
      <c r="H42" s="6" t="inlineStr">
        <is>
          <t>2023-06-02</t>
        </is>
      </c>
      <c r="I42" s="6" t="inlineStr">
        <is>
          <t>Non</t>
        </is>
      </c>
      <c r="J42" s="10" t="n"/>
      <c r="K42" s="10" t="n"/>
      <c r="L42" s="10" t="n"/>
      <c r="M42" s="10" t="n"/>
      <c r="N42" s="10" t="n"/>
      <c r="O42" s="10" t="n"/>
      <c r="P42" s="10" t="n"/>
      <c r="Q42" s="10" t="inlineStr">
        <is>
          <t>⬜ À enrichir</t>
        </is>
      </c>
      <c r="R42" s="10" t="n"/>
    </row>
    <row r="43" hidden="1" ht="15.75" customHeight="1" s="24">
      <c r="A43" s="6" t="n">
        <v>96</v>
      </c>
      <c r="B43" s="6" t="inlineStr">
        <is>
          <t>Samira</t>
        </is>
      </c>
      <c r="C43" s="6" t="inlineStr">
        <is>
          <t>Bouzourene</t>
        </is>
      </c>
      <c r="D43" s="6" t="n">
        <v>2023</v>
      </c>
      <c r="E43" s="6" t="inlineStr">
        <is>
          <t>coach</t>
        </is>
      </c>
      <c r="F43" s="6" t="inlineStr">
        <is>
          <t>Bénévole</t>
        </is>
      </c>
      <c r="G43" s="6" t="inlineStr">
        <is>
          <t>2022-12-20</t>
        </is>
      </c>
      <c r="H43" s="6" t="inlineStr">
        <is>
          <t>2023-04-14</t>
        </is>
      </c>
      <c r="I43" s="6" t="inlineStr">
        <is>
          <t>Non</t>
        </is>
      </c>
      <c r="J43" s="10" t="n"/>
      <c r="K43" s="10" t="n"/>
      <c r="L43" s="10" t="n"/>
      <c r="M43" s="10" t="n"/>
      <c r="N43" s="10" t="n"/>
      <c r="O43" s="10" t="n"/>
      <c r="P43" s="10" t="n"/>
      <c r="Q43" s="10" t="inlineStr">
        <is>
          <t>⬜ À enrichir</t>
        </is>
      </c>
      <c r="R43" s="10" t="n"/>
    </row>
    <row r="44" hidden="1" ht="15.75" customHeight="1" s="24">
      <c r="A44" s="6" t="n">
        <v>100</v>
      </c>
      <c r="B44" s="6" t="inlineStr">
        <is>
          <t>Emma</t>
        </is>
      </c>
      <c r="C44" s="6" t="inlineStr">
        <is>
          <t>CAPALDI</t>
        </is>
      </c>
      <c r="D44" s="6" t="n">
        <v>2023</v>
      </c>
      <c r="E44" s="6" t="inlineStr">
        <is>
          <t>RH</t>
        </is>
      </c>
      <c r="F44" s="6" t="inlineStr">
        <is>
          <t>Bénévole</t>
        </is>
      </c>
      <c r="G44" s="6" t="inlineStr">
        <is>
          <t>2022-11-02</t>
        </is>
      </c>
      <c r="H44" s="6" t="inlineStr">
        <is>
          <t>2023-05-26</t>
        </is>
      </c>
      <c r="I44" s="6" t="n"/>
      <c r="J44" s="10" t="n"/>
      <c r="K44" s="10" t="n"/>
      <c r="L44" s="10" t="n"/>
      <c r="M44" s="10" t="n"/>
      <c r="N44" s="10" t="n"/>
      <c r="O44" s="10" t="n"/>
      <c r="P44" s="10" t="n"/>
      <c r="Q44" s="10" t="inlineStr">
        <is>
          <t>⬜ À enrichir</t>
        </is>
      </c>
      <c r="R44" s="10" t="n"/>
    </row>
    <row r="45" hidden="1" ht="15.75" customHeight="1" s="24">
      <c r="A45" s="6" t="n">
        <v>103</v>
      </c>
      <c r="B45" s="6" t="inlineStr">
        <is>
          <t>Nathalie</t>
        </is>
      </c>
      <c r="C45" s="6" t="inlineStr">
        <is>
          <t>CARON</t>
        </is>
      </c>
      <c r="D45" s="6" t="n">
        <v>2023</v>
      </c>
      <c r="E45" s="6" t="inlineStr">
        <is>
          <t>RH</t>
        </is>
      </c>
      <c r="F45" s="6" t="inlineStr">
        <is>
          <t>Conventioné</t>
        </is>
      </c>
      <c r="G45" s="6" t="inlineStr">
        <is>
          <t>2022-03-23</t>
        </is>
      </c>
      <c r="H45" s="6" t="inlineStr">
        <is>
          <t>2022-07-22</t>
        </is>
      </c>
      <c r="I45" s="6" t="n"/>
      <c r="J45" s="10" t="n"/>
      <c r="K45" s="10" t="n"/>
      <c r="L45" s="10" t="n"/>
      <c r="M45" s="10" t="n"/>
      <c r="N45" s="10" t="n"/>
      <c r="O45" s="10" t="n"/>
      <c r="P45" s="10" t="n"/>
      <c r="Q45" s="10" t="inlineStr">
        <is>
          <t>⬜ À enrichir</t>
        </is>
      </c>
      <c r="R45" s="10" t="n"/>
    </row>
    <row r="46" hidden="1" ht="15.75" customHeight="1" s="24">
      <c r="A46" s="6" t="n">
        <v>104</v>
      </c>
      <c r="B46" s="6" t="inlineStr">
        <is>
          <t>Hajar</t>
        </is>
      </c>
      <c r="C46" s="6" t="inlineStr">
        <is>
          <t>CHAABANI</t>
        </is>
      </c>
      <c r="D46" s="6" t="n">
        <v>2023</v>
      </c>
      <c r="E46" s="6" t="inlineStr">
        <is>
          <t>IT</t>
        </is>
      </c>
      <c r="F46" s="6" t="inlineStr">
        <is>
          <t>Conventioné</t>
        </is>
      </c>
      <c r="G46" s="6" t="inlineStr">
        <is>
          <t>2023-06-22</t>
        </is>
      </c>
      <c r="H46" s="6" t="inlineStr">
        <is>
          <t>2023-09-22</t>
        </is>
      </c>
      <c r="I46" s="6" t="n"/>
      <c r="J46" s="10" t="n"/>
      <c r="K46" s="10" t="n"/>
      <c r="L46" s="10" t="n"/>
      <c r="M46" s="10" t="n"/>
      <c r="N46" s="10" t="n"/>
      <c r="O46" s="10" t="n"/>
      <c r="P46" s="10" t="n"/>
      <c r="Q46" s="10" t="inlineStr">
        <is>
          <t>⬜ À enrichir</t>
        </is>
      </c>
      <c r="R46" s="10" t="n"/>
    </row>
    <row r="47" hidden="1" ht="15.75" customHeight="1" s="24">
      <c r="A47" s="6" t="n">
        <v>107</v>
      </c>
      <c r="B47" s="6" t="inlineStr">
        <is>
          <t>Maxime</t>
        </is>
      </c>
      <c r="C47" s="6" t="inlineStr">
        <is>
          <t>CHAPOT</t>
        </is>
      </c>
      <c r="D47" s="6" t="n">
        <v>2023</v>
      </c>
      <c r="E47" s="6" t="inlineStr">
        <is>
          <t>IT</t>
        </is>
      </c>
      <c r="F47" s="6" t="inlineStr">
        <is>
          <t>Bénévole</t>
        </is>
      </c>
      <c r="G47" s="6" t="inlineStr">
        <is>
          <t>2023-03-16</t>
        </is>
      </c>
      <c r="H47" s="6" t="inlineStr">
        <is>
          <t>2023-05-12</t>
        </is>
      </c>
      <c r="I47" s="6" t="n"/>
      <c r="J47" s="10" t="n"/>
      <c r="K47" s="10" t="n"/>
      <c r="L47" s="10" t="n"/>
      <c r="M47" s="10" t="n"/>
      <c r="N47" s="10" t="n"/>
      <c r="O47" s="10" t="n"/>
      <c r="P47" s="10" t="n"/>
      <c r="Q47" s="10" t="inlineStr">
        <is>
          <t>⬜ À enrichir</t>
        </is>
      </c>
      <c r="R47" s="10" t="n"/>
    </row>
    <row r="48" hidden="1" ht="15.75" customHeight="1" s="24">
      <c r="A48" s="6" t="n">
        <v>108</v>
      </c>
      <c r="B48" s="6" t="inlineStr">
        <is>
          <t>Antoine</t>
        </is>
      </c>
      <c r="C48" s="6" t="inlineStr">
        <is>
          <t>CHARLOT</t>
        </is>
      </c>
      <c r="D48" s="6" t="n">
        <v>2023</v>
      </c>
      <c r="E48" s="6" t="inlineStr">
        <is>
          <t>IT</t>
        </is>
      </c>
      <c r="F48" s="6" t="inlineStr">
        <is>
          <t>Conventioné</t>
        </is>
      </c>
      <c r="G48" s="6" t="inlineStr">
        <is>
          <t>2023-04-06</t>
        </is>
      </c>
      <c r="H48" s="6" t="inlineStr">
        <is>
          <t>2023-10-06</t>
        </is>
      </c>
      <c r="I48" s="6" t="n"/>
      <c r="J48" s="10" t="n"/>
      <c r="K48" s="10" t="n"/>
      <c r="L48" s="10" t="n"/>
      <c r="M48" s="10" t="n"/>
      <c r="N48" s="10" t="n"/>
      <c r="O48" s="10" t="n"/>
      <c r="P48" s="10" t="n"/>
      <c r="Q48" s="10" t="inlineStr">
        <is>
          <t>⬜ À enrichir</t>
        </is>
      </c>
      <c r="R48" s="10" t="n"/>
    </row>
    <row r="49" hidden="1" ht="15.75" customHeight="1" s="24">
      <c r="A49" s="6" t="n">
        <v>109</v>
      </c>
      <c r="B49" s="6" t="inlineStr">
        <is>
          <t>Jordan</t>
        </is>
      </c>
      <c r="C49" s="6" t="inlineStr">
        <is>
          <t>CHEUFFA</t>
        </is>
      </c>
      <c r="D49" s="6" t="n">
        <v>2023</v>
      </c>
      <c r="E49" s="6" t="inlineStr">
        <is>
          <t xml:space="preserve">Publication scientifique </t>
        </is>
      </c>
      <c r="F49" s="6" t="inlineStr">
        <is>
          <t>Conventioné</t>
        </is>
      </c>
      <c r="G49" s="6" t="inlineStr">
        <is>
          <t>2023-04-17</t>
        </is>
      </c>
      <c r="H49" s="6" t="inlineStr">
        <is>
          <t>2023-07-21</t>
        </is>
      </c>
      <c r="I49" s="6" t="n"/>
      <c r="J49" s="10" t="n"/>
      <c r="K49" s="10" t="n"/>
      <c r="L49" s="10" t="n"/>
      <c r="M49" s="10" t="n"/>
      <c r="N49" s="10" t="n"/>
      <c r="O49" s="10" t="n"/>
      <c r="P49" s="10" t="n"/>
      <c r="Q49" s="10" t="inlineStr">
        <is>
          <t>⬜ À enrichir</t>
        </is>
      </c>
      <c r="R49" s="10" t="n"/>
    </row>
    <row r="50" hidden="1" ht="15.75" customHeight="1" s="24">
      <c r="A50" s="6" t="n">
        <v>110</v>
      </c>
      <c r="B50" s="6" t="inlineStr">
        <is>
          <t>Malek</t>
        </is>
      </c>
      <c r="C50" s="6" t="inlineStr">
        <is>
          <t>CHIKHAOUI</t>
        </is>
      </c>
      <c r="D50" s="6" t="n">
        <v>2023</v>
      </c>
      <c r="E50" s="6" t="inlineStr">
        <is>
          <t>RH</t>
        </is>
      </c>
      <c r="F50" s="6" t="inlineStr">
        <is>
          <t>Bénévole</t>
        </is>
      </c>
      <c r="G50" s="6" t="inlineStr">
        <is>
          <t>2021-11-10</t>
        </is>
      </c>
      <c r="H50" s="6" t="inlineStr">
        <is>
          <t>2022-05-20</t>
        </is>
      </c>
      <c r="I50" s="6" t="n"/>
      <c r="J50" s="10" t="n"/>
      <c r="K50" s="10" t="n"/>
      <c r="L50" s="10" t="n"/>
      <c r="M50" s="10" t="n"/>
      <c r="N50" s="10" t="n"/>
      <c r="O50" s="10" t="n"/>
      <c r="P50" s="10" t="n"/>
      <c r="Q50" s="10" t="inlineStr">
        <is>
          <t>⬜ À enrichir</t>
        </is>
      </c>
      <c r="R50" s="10" t="n"/>
    </row>
    <row r="51" hidden="1" ht="15.75" customHeight="1" s="24">
      <c r="A51" s="6" t="n">
        <v>111</v>
      </c>
      <c r="B51" s="6" t="inlineStr">
        <is>
          <t>Mélina</t>
        </is>
      </c>
      <c r="C51" s="6" t="inlineStr">
        <is>
          <t>CHIRIOT</t>
        </is>
      </c>
      <c r="D51" s="6" t="n">
        <v>2023</v>
      </c>
      <c r="E51" s="6" t="inlineStr">
        <is>
          <t>IT</t>
        </is>
      </c>
      <c r="F51" s="6" t="inlineStr">
        <is>
          <t>Conventioné</t>
        </is>
      </c>
      <c r="G51" s="6" t="inlineStr">
        <is>
          <t>2023-07-20</t>
        </is>
      </c>
      <c r="H51" s="6" t="inlineStr">
        <is>
          <t>2023-11-24</t>
        </is>
      </c>
      <c r="I51" s="6" t="n"/>
      <c r="J51" s="10" t="n"/>
      <c r="K51" s="10" t="n"/>
      <c r="L51" s="10" t="n"/>
      <c r="M51" s="10" t="n"/>
      <c r="N51" s="10" t="n"/>
      <c r="O51" s="10" t="n"/>
      <c r="P51" s="10" t="n"/>
      <c r="Q51" s="10" t="inlineStr">
        <is>
          <t>⬜ À enrichir</t>
        </is>
      </c>
      <c r="R51" s="10" t="n"/>
    </row>
    <row r="52" hidden="1" ht="15.75" customHeight="1" s="24">
      <c r="A52" s="6" t="n">
        <v>113</v>
      </c>
      <c r="B52" s="6" t="inlineStr">
        <is>
          <t>Marine</t>
        </is>
      </c>
      <c r="C52" s="6" t="inlineStr">
        <is>
          <t>CHRETIEN</t>
        </is>
      </c>
      <c r="D52" s="6" t="n">
        <v>2023</v>
      </c>
      <c r="E52" s="6" t="inlineStr">
        <is>
          <t>Branding/ CM/ Partenariat/ GES/ Fundraising</t>
        </is>
      </c>
      <c r="F52" s="6" t="inlineStr">
        <is>
          <t>Conventioné</t>
        </is>
      </c>
      <c r="G52" s="6" t="inlineStr">
        <is>
          <t>2023-04-03</t>
        </is>
      </c>
      <c r="H52" s="6" t="inlineStr">
        <is>
          <t>2023-06-30</t>
        </is>
      </c>
      <c r="I52" s="6" t="n"/>
      <c r="J52" s="10" t="n"/>
      <c r="K52" s="10" t="n"/>
      <c r="L52" s="10" t="n"/>
      <c r="M52" s="10" t="n"/>
      <c r="N52" s="10" t="n"/>
      <c r="O52" s="10" t="n"/>
      <c r="P52" s="10" t="n"/>
      <c r="Q52" s="10" t="inlineStr">
        <is>
          <t>⬜ À enrichir</t>
        </is>
      </c>
      <c r="R52" s="10" t="n"/>
    </row>
    <row r="53" hidden="1" ht="15.75" customHeight="1" s="24">
      <c r="A53" s="6" t="n">
        <v>115</v>
      </c>
      <c r="B53" s="6" t="inlineStr">
        <is>
          <t>Eugénio</t>
        </is>
      </c>
      <c r="C53" s="6" t="inlineStr">
        <is>
          <t>CIRILLO</t>
        </is>
      </c>
      <c r="D53" s="6" t="n">
        <v>2023</v>
      </c>
      <c r="E53" s="6" t="inlineStr">
        <is>
          <t>Branding / RV</t>
        </is>
      </c>
      <c r="F53" s="6" t="inlineStr">
        <is>
          <t>Bénévole</t>
        </is>
      </c>
      <c r="G53" s="6" t="inlineStr">
        <is>
          <t>2023-03-20</t>
        </is>
      </c>
      <c r="H53" s="6" t="inlineStr">
        <is>
          <t>2023-09-22</t>
        </is>
      </c>
      <c r="I53" s="6" t="n"/>
      <c r="J53" s="10" t="n"/>
      <c r="K53" s="10" t="n"/>
      <c r="L53" s="10" t="n"/>
      <c r="M53" s="10" t="n"/>
      <c r="N53" s="10" t="n"/>
      <c r="O53" s="10" t="n"/>
      <c r="P53" s="10" t="n"/>
      <c r="Q53" s="10" t="inlineStr">
        <is>
          <t>⬜ À enrichir</t>
        </is>
      </c>
      <c r="R53" s="10" t="n"/>
    </row>
    <row r="54" hidden="1" ht="15.75" customHeight="1" s="24">
      <c r="A54" s="6" t="n">
        <v>116</v>
      </c>
      <c r="B54" s="6" t="inlineStr">
        <is>
          <t>Dickourou</t>
        </is>
      </c>
      <c r="C54" s="6" t="inlineStr">
        <is>
          <t>CISSE</t>
        </is>
      </c>
      <c r="D54" s="6" t="n">
        <v>2023</v>
      </c>
      <c r="E54" s="6" t="inlineStr">
        <is>
          <t xml:space="preserve">Agriculture durable </t>
        </is>
      </c>
      <c r="F54" s="6" t="inlineStr">
        <is>
          <t>Bénévole</t>
        </is>
      </c>
      <c r="G54" s="6" t="inlineStr">
        <is>
          <t>2023-03-06</t>
        </is>
      </c>
      <c r="H54" s="6" t="inlineStr">
        <is>
          <t>2023-09-08</t>
        </is>
      </c>
      <c r="I54" s="6" t="n"/>
      <c r="J54" s="10" t="n"/>
      <c r="K54" s="10" t="n"/>
      <c r="L54" s="10" t="n"/>
      <c r="M54" s="10" t="n"/>
      <c r="N54" s="10" t="n"/>
      <c r="O54" s="10" t="n"/>
      <c r="P54" s="10" t="n"/>
      <c r="Q54" s="10" t="inlineStr">
        <is>
          <t>⬜ À enrichir</t>
        </is>
      </c>
      <c r="R54" s="10" t="n"/>
    </row>
    <row r="55" hidden="1" ht="15.75" customHeight="1" s="24">
      <c r="A55" s="6" t="n">
        <v>118</v>
      </c>
      <c r="B55" s="6" t="inlineStr">
        <is>
          <t>Léa</t>
        </is>
      </c>
      <c r="C55" s="6" t="inlineStr">
        <is>
          <t>CORREIA</t>
        </is>
      </c>
      <c r="D55" s="6" t="n">
        <v>2023</v>
      </c>
      <c r="E55" s="6" t="inlineStr">
        <is>
          <t>Coach</t>
        </is>
      </c>
      <c r="F55" s="6" t="inlineStr">
        <is>
          <t>Bénévole</t>
        </is>
      </c>
      <c r="G55" s="6" t="inlineStr">
        <is>
          <t>2023-03-29</t>
        </is>
      </c>
      <c r="H55" s="6" t="inlineStr">
        <is>
          <t>2023-09-29</t>
        </is>
      </c>
      <c r="I55" s="6" t="n"/>
      <c r="J55" s="10" t="n"/>
      <c r="K55" s="10" t="n"/>
      <c r="L55" s="10" t="n"/>
      <c r="M55" s="10" t="n"/>
      <c r="N55" s="10" t="n"/>
      <c r="O55" s="10" t="n"/>
      <c r="P55" s="10" t="n"/>
      <c r="Q55" s="10" t="inlineStr">
        <is>
          <t>⬜ À enrichir</t>
        </is>
      </c>
      <c r="R55" s="10" t="n"/>
    </row>
    <row r="56" hidden="1" ht="15.75" customHeight="1" s="24">
      <c r="A56" s="6" t="n">
        <v>119</v>
      </c>
      <c r="B56" s="6" t="inlineStr">
        <is>
          <t>Sophie</t>
        </is>
      </c>
      <c r="C56" s="6" t="inlineStr">
        <is>
          <t>COURTIN</t>
        </is>
      </c>
      <c r="D56" s="6" t="n">
        <v>2023</v>
      </c>
      <c r="E56" s="6" t="inlineStr">
        <is>
          <t>Coach</t>
        </is>
      </c>
      <c r="F56" s="6" t="inlineStr">
        <is>
          <t>Bénévole</t>
        </is>
      </c>
      <c r="G56" s="6" t="inlineStr">
        <is>
          <t>2023-07-05</t>
        </is>
      </c>
      <c r="H56" s="6" t="inlineStr">
        <is>
          <t>2023-10-06</t>
        </is>
      </c>
      <c r="I56" s="6" t="n"/>
      <c r="J56" s="10" t="n"/>
      <c r="K56" s="10" t="n"/>
      <c r="L56" s="10" t="n"/>
      <c r="M56" s="10" t="n"/>
      <c r="N56" s="10" t="n"/>
      <c r="O56" s="10" t="n"/>
      <c r="P56" s="10" t="n"/>
      <c r="Q56" s="10" t="inlineStr">
        <is>
          <t>⬜ À enrichir</t>
        </is>
      </c>
      <c r="R56" s="10" t="n"/>
    </row>
    <row r="57" hidden="1" ht="15.75" customHeight="1" s="24">
      <c r="A57" s="6" t="n">
        <v>120</v>
      </c>
      <c r="B57" s="6" t="inlineStr">
        <is>
          <t>Bahaa Abou</t>
        </is>
      </c>
      <c r="C57" s="6" t="inlineStr">
        <is>
          <t>Chakra</t>
        </is>
      </c>
      <c r="D57" s="6" t="n">
        <v>2023</v>
      </c>
      <c r="E57" s="6" t="inlineStr">
        <is>
          <t>Agriculture/ cartographie</t>
        </is>
      </c>
      <c r="F57" s="6" t="inlineStr">
        <is>
          <t>Bénévole</t>
        </is>
      </c>
      <c r="G57" s="6" t="inlineStr">
        <is>
          <t>2023-12-21</t>
        </is>
      </c>
      <c r="H57" s="6" t="inlineStr">
        <is>
          <t>2023-08-22</t>
        </is>
      </c>
      <c r="I57" s="6" t="n"/>
      <c r="J57" s="10" t="n"/>
      <c r="K57" s="10" t="n"/>
      <c r="L57" s="10" t="n"/>
      <c r="M57" s="10" t="n"/>
      <c r="N57" s="10" t="n"/>
      <c r="O57" s="10" t="n"/>
      <c r="P57" s="10" t="n"/>
      <c r="Q57" s="10" t="inlineStr">
        <is>
          <t>⬜ À enrichir</t>
        </is>
      </c>
      <c r="R57" s="10" t="n"/>
    </row>
    <row r="58" hidden="1" ht="15.75" customHeight="1" s="24">
      <c r="A58" s="6" t="n">
        <v>121</v>
      </c>
      <c r="B58" s="6" t="inlineStr">
        <is>
          <t>Pauline</t>
        </is>
      </c>
      <c r="C58" s="6" t="inlineStr">
        <is>
          <t>Chavot</t>
        </is>
      </c>
      <c r="D58" s="6" t="n">
        <v>2023</v>
      </c>
      <c r="E58" s="6" t="inlineStr">
        <is>
          <t>Ateliers enfants et Rédaction</t>
        </is>
      </c>
      <c r="F58" s="6" t="inlineStr">
        <is>
          <t>Bénévole</t>
        </is>
      </c>
      <c r="G58" s="6" t="inlineStr">
        <is>
          <t>2023-05-06</t>
        </is>
      </c>
      <c r="H58" s="6" t="inlineStr">
        <is>
          <t>2023-12-08</t>
        </is>
      </c>
      <c r="I58" s="6" t="n"/>
      <c r="J58" s="10" t="n"/>
      <c r="K58" s="10" t="n"/>
      <c r="L58" s="10" t="n"/>
      <c r="M58" s="10" t="n"/>
      <c r="N58" s="10" t="n"/>
      <c r="O58" s="10" t="n"/>
      <c r="P58" s="10" t="n"/>
      <c r="Q58" s="10" t="inlineStr">
        <is>
          <t>⬜ À enrichir</t>
        </is>
      </c>
      <c r="R58" s="10" t="n"/>
    </row>
    <row r="59" hidden="1" ht="15.75" customHeight="1" s="24">
      <c r="A59" s="6" t="n">
        <v>126</v>
      </c>
      <c r="B59" s="6" t="inlineStr">
        <is>
          <t>Leslie</t>
        </is>
      </c>
      <c r="C59" s="6" t="inlineStr">
        <is>
          <t>DE OLIVEIRA</t>
        </is>
      </c>
      <c r="D59" s="6" t="n">
        <v>2023</v>
      </c>
      <c r="E59" s="6" t="inlineStr">
        <is>
          <t>GCBO/ GCC</t>
        </is>
      </c>
      <c r="F59" s="6" t="inlineStr">
        <is>
          <t>Bénévole</t>
        </is>
      </c>
      <c r="G59" s="6" t="inlineStr">
        <is>
          <t>2023-06-07</t>
        </is>
      </c>
      <c r="H59" s="6" t="inlineStr">
        <is>
          <t>2023-10-06</t>
        </is>
      </c>
      <c r="I59" s="6" t="n"/>
      <c r="J59" s="10" t="n"/>
      <c r="K59" s="10" t="n"/>
      <c r="L59" s="10" t="n"/>
      <c r="M59" s="10" t="n"/>
      <c r="N59" s="10" t="n"/>
      <c r="O59" s="10" t="n"/>
      <c r="P59" s="10" t="n"/>
      <c r="Q59" s="10" t="inlineStr">
        <is>
          <t>⬜ À enrichir</t>
        </is>
      </c>
      <c r="R59" s="10" t="n"/>
    </row>
    <row r="60" hidden="1" ht="15.75" customHeight="1" s="24">
      <c r="A60" s="6" t="n">
        <v>128</v>
      </c>
      <c r="B60" s="6" t="inlineStr">
        <is>
          <t>Oriana</t>
        </is>
      </c>
      <c r="C60" s="6" t="inlineStr">
        <is>
          <t>DECIMO GIROUD</t>
        </is>
      </c>
      <c r="D60" s="6" t="n">
        <v>2023</v>
      </c>
      <c r="E60" s="6" t="inlineStr">
        <is>
          <t>RH</t>
        </is>
      </c>
      <c r="F60" s="6" t="inlineStr">
        <is>
          <t>Bénévole</t>
        </is>
      </c>
      <c r="G60" s="6" t="inlineStr">
        <is>
          <t>2023-04-12</t>
        </is>
      </c>
      <c r="H60" s="6" t="inlineStr">
        <is>
          <t>2023-10-09</t>
        </is>
      </c>
      <c r="I60" s="6" t="n"/>
      <c r="J60" s="10" t="n"/>
      <c r="K60" s="10" t="n"/>
      <c r="L60" s="10" t="n"/>
      <c r="M60" s="10" t="n"/>
      <c r="N60" s="10" t="n"/>
      <c r="O60" s="10" t="n"/>
      <c r="P60" s="10" t="n"/>
      <c r="Q60" s="10" t="inlineStr">
        <is>
          <t>⬜ À enrichir</t>
        </is>
      </c>
      <c r="R60" s="10" t="n"/>
    </row>
    <row r="61" hidden="1" ht="15.75" customHeight="1" s="24">
      <c r="A61" s="6" t="n">
        <v>131</v>
      </c>
      <c r="B61" s="6" t="inlineStr">
        <is>
          <t>Kodjo Gabin</t>
        </is>
      </c>
      <c r="C61" s="6" t="inlineStr">
        <is>
          <t>DEGUEUNON</t>
        </is>
      </c>
      <c r="D61" s="6" t="n">
        <v>2023</v>
      </c>
      <c r="E61" s="6" t="inlineStr">
        <is>
          <t xml:space="preserve">Statistiques/ Impact souciaux eco conso </t>
        </is>
      </c>
      <c r="F61" s="6" t="inlineStr">
        <is>
          <t>Bénévole</t>
        </is>
      </c>
      <c r="G61" s="6" t="inlineStr">
        <is>
          <t>2023-02-07</t>
        </is>
      </c>
      <c r="H61" s="6" t="inlineStr">
        <is>
          <t>2023-08-11</t>
        </is>
      </c>
      <c r="I61" s="6" t="n"/>
      <c r="J61" s="10" t="n"/>
      <c r="K61" s="10" t="n"/>
      <c r="L61" s="10" t="n"/>
      <c r="M61" s="10" t="n"/>
      <c r="N61" s="10" t="n"/>
      <c r="O61" s="10" t="n"/>
      <c r="P61" s="10" t="n"/>
      <c r="Q61" s="10" t="inlineStr">
        <is>
          <t>⬜ À enrichir</t>
        </is>
      </c>
      <c r="R61" s="10" t="n"/>
    </row>
    <row r="62" hidden="1" ht="15.75" customHeight="1" s="24">
      <c r="A62" s="6" t="n">
        <v>132</v>
      </c>
      <c r="B62" s="6" t="inlineStr">
        <is>
          <t>Lucas</t>
        </is>
      </c>
      <c r="C62" s="6" t="inlineStr">
        <is>
          <t>DEKINDT</t>
        </is>
      </c>
      <c r="D62" s="6" t="n">
        <v>2023</v>
      </c>
      <c r="E62" s="6" t="inlineStr">
        <is>
          <t>IT</t>
        </is>
      </c>
      <c r="F62" s="6" t="inlineStr">
        <is>
          <t>Conventioné</t>
        </is>
      </c>
      <c r="G62" s="6" t="inlineStr">
        <is>
          <t>2023-08-24</t>
        </is>
      </c>
      <c r="H62" s="6" t="inlineStr">
        <is>
          <t>2023-11-15</t>
        </is>
      </c>
      <c r="I62" s="6" t="n"/>
      <c r="J62" s="10" t="n"/>
      <c r="K62" s="10" t="n"/>
      <c r="L62" s="10" t="n"/>
      <c r="M62" s="10" t="n"/>
      <c r="N62" s="10" t="n"/>
      <c r="O62" s="10" t="n"/>
      <c r="P62" s="10" t="n"/>
      <c r="Q62" s="10" t="inlineStr">
        <is>
          <t>⬜ À enrichir</t>
        </is>
      </c>
      <c r="R62" s="10" t="n"/>
    </row>
    <row r="63" hidden="1" ht="15.75" customHeight="1" s="24">
      <c r="A63" s="6" t="n">
        <v>138</v>
      </c>
      <c r="B63" s="6" t="inlineStr">
        <is>
          <t>Manon</t>
        </is>
      </c>
      <c r="C63" s="6" t="inlineStr">
        <is>
          <t>DENOLF</t>
        </is>
      </c>
      <c r="D63" s="6" t="n">
        <v>2023</v>
      </c>
      <c r="E63" s="6" t="inlineStr">
        <is>
          <t>IT</t>
        </is>
      </c>
      <c r="F63" s="6" t="inlineStr">
        <is>
          <t>Conventioné</t>
        </is>
      </c>
      <c r="G63" s="6" t="inlineStr">
        <is>
          <t>2023-03-09</t>
        </is>
      </c>
      <c r="H63" s="6" t="inlineStr">
        <is>
          <t>2023-06-02</t>
        </is>
      </c>
      <c r="I63" s="6" t="n"/>
      <c r="J63" s="10" t="n"/>
      <c r="K63" s="10" t="n"/>
      <c r="L63" s="10" t="n"/>
      <c r="M63" s="10" t="n"/>
      <c r="N63" s="10" t="n"/>
      <c r="O63" s="10" t="n"/>
      <c r="P63" s="10" t="n"/>
      <c r="Q63" s="10" t="inlineStr">
        <is>
          <t>⬜ À enrichir</t>
        </is>
      </c>
      <c r="R63" s="10" t="n"/>
    </row>
    <row r="64" hidden="1" ht="15.75" customHeight="1" s="24">
      <c r="A64" s="6" t="n">
        <v>139</v>
      </c>
      <c r="B64" s="6" t="inlineStr">
        <is>
          <t>OLIVIER</t>
        </is>
      </c>
      <c r="C64" s="6" t="inlineStr">
        <is>
          <t>DERYAM</t>
        </is>
      </c>
      <c r="D64" s="6" t="n">
        <v>2023</v>
      </c>
      <c r="E64" s="6" t="inlineStr">
        <is>
          <t>GCC et SC emprinthe chromatique</t>
        </is>
      </c>
      <c r="F64" s="6" t="inlineStr">
        <is>
          <t>Conventioné</t>
        </is>
      </c>
      <c r="G64" s="6" t="inlineStr">
        <is>
          <t>2023-06-19</t>
        </is>
      </c>
      <c r="H64" s="6" t="inlineStr">
        <is>
          <t>2023-11-15</t>
        </is>
      </c>
      <c r="I64" s="6" t="n"/>
      <c r="J64" s="10" t="n"/>
      <c r="K64" s="10" t="n"/>
      <c r="L64" s="10" t="n"/>
      <c r="M64" s="10" t="n"/>
      <c r="N64" s="10" t="n"/>
      <c r="O64" s="10" t="n"/>
      <c r="P64" s="10" t="n"/>
      <c r="Q64" s="10" t="inlineStr">
        <is>
          <t>⬜ À enrichir</t>
        </is>
      </c>
      <c r="R64" s="10" t="n"/>
    </row>
    <row r="65" hidden="1" ht="15.75" customHeight="1" s="24">
      <c r="A65" s="6" t="n">
        <v>140</v>
      </c>
      <c r="B65" s="6" t="inlineStr">
        <is>
          <t>Estelle</t>
        </is>
      </c>
      <c r="C65" s="6" t="inlineStr">
        <is>
          <t>DESAINTJEAN</t>
        </is>
      </c>
      <c r="D65" s="6" t="n">
        <v>2023</v>
      </c>
      <c r="E65" s="6" t="inlineStr">
        <is>
          <t>RH</t>
        </is>
      </c>
      <c r="F65" s="6" t="inlineStr">
        <is>
          <t>Bénévole</t>
        </is>
      </c>
      <c r="G65" s="6" t="inlineStr">
        <is>
          <t>2022-11-30</t>
        </is>
      </c>
      <c r="H65" s="6" t="inlineStr">
        <is>
          <t>2023-06-16</t>
        </is>
      </c>
      <c r="I65" s="6" t="n"/>
      <c r="J65" s="10" t="n"/>
      <c r="K65" s="10" t="n"/>
      <c r="L65" s="10" t="n"/>
      <c r="M65" s="10" t="n"/>
      <c r="N65" s="10" t="n"/>
      <c r="O65" s="10" t="n"/>
      <c r="P65" s="10" t="n"/>
      <c r="Q65" s="10" t="inlineStr">
        <is>
          <t>⬜ À enrichir</t>
        </is>
      </c>
      <c r="R65" s="10" t="n"/>
    </row>
    <row r="66" hidden="1" ht="15.75" customHeight="1" s="24">
      <c r="A66" s="6" t="n">
        <v>144</v>
      </c>
      <c r="B66" s="6" t="inlineStr">
        <is>
          <t>Alpha</t>
        </is>
      </c>
      <c r="C66" s="6" t="inlineStr">
        <is>
          <t>DIALLO</t>
        </is>
      </c>
      <c r="D66" s="6" t="n">
        <v>2023</v>
      </c>
      <c r="E66" s="6" t="inlineStr">
        <is>
          <t>AUCUN DOSSIER</t>
        </is>
      </c>
      <c r="F66" s="6" t="n"/>
      <c r="G66" s="6" t="n"/>
      <c r="H66" s="6" t="n"/>
      <c r="I66" s="6" t="n"/>
      <c r="J66" s="10" t="n"/>
      <c r="K66" s="10" t="n"/>
      <c r="L66" s="10" t="n"/>
      <c r="M66" s="10" t="n"/>
      <c r="N66" s="10" t="n"/>
      <c r="O66" s="10" t="n"/>
      <c r="P66" s="10" t="n"/>
      <c r="Q66" s="10" t="inlineStr">
        <is>
          <t>⬜ À enrichir</t>
        </is>
      </c>
      <c r="R66" s="10" t="n"/>
    </row>
    <row r="67" hidden="1" ht="15.75" customHeight="1" s="24">
      <c r="A67" s="6" t="n">
        <v>146</v>
      </c>
      <c r="B67" s="6" t="inlineStr">
        <is>
          <t>Gabriela</t>
        </is>
      </c>
      <c r="C67" s="6" t="inlineStr">
        <is>
          <t>DIAS</t>
        </is>
      </c>
      <c r="D67" s="6" t="n">
        <v>2023</v>
      </c>
      <c r="E67" s="6" t="inlineStr">
        <is>
          <t>Traduction</t>
        </is>
      </c>
      <c r="F67" s="6" t="inlineStr">
        <is>
          <t>Conventioné</t>
        </is>
      </c>
      <c r="G67" s="6" t="inlineStr">
        <is>
          <t>2023-04-03</t>
        </is>
      </c>
      <c r="H67" s="6" t="inlineStr">
        <is>
          <t>2023-06-30</t>
        </is>
      </c>
      <c r="I67" s="6" t="n"/>
      <c r="J67" s="10" t="n"/>
      <c r="K67" s="10" t="n"/>
      <c r="L67" s="10" t="n"/>
      <c r="M67" s="10" t="n"/>
      <c r="N67" s="10" t="n"/>
      <c r="O67" s="10" t="n"/>
      <c r="P67" s="10" t="n"/>
      <c r="Q67" s="10" t="inlineStr">
        <is>
          <t>⬜ À enrichir</t>
        </is>
      </c>
      <c r="R67" s="10" t="n"/>
    </row>
    <row r="68" hidden="1" ht="15.75" customHeight="1" s="24">
      <c r="A68" s="6" t="n">
        <v>147</v>
      </c>
      <c r="B68" s="6" t="inlineStr">
        <is>
          <t>Deborah</t>
        </is>
      </c>
      <c r="C68" s="6" t="inlineStr">
        <is>
          <t>DIBASANI</t>
        </is>
      </c>
      <c r="D68" s="6" t="n">
        <v>2023</v>
      </c>
      <c r="E68" s="6" t="inlineStr">
        <is>
          <t>RH</t>
        </is>
      </c>
      <c r="F68" s="6" t="inlineStr">
        <is>
          <t>Bénévole</t>
        </is>
      </c>
      <c r="G68" s="6" t="inlineStr">
        <is>
          <t>2022-11-15</t>
        </is>
      </c>
      <c r="H68" s="6" t="inlineStr">
        <is>
          <t>2023-06-02</t>
        </is>
      </c>
      <c r="I68" s="6" t="n"/>
      <c r="J68" s="10" t="n"/>
      <c r="K68" s="10" t="n"/>
      <c r="L68" s="10" t="n"/>
      <c r="M68" s="10" t="n"/>
      <c r="N68" s="10" t="n"/>
      <c r="O68" s="10" t="n"/>
      <c r="P68" s="10" t="n"/>
      <c r="Q68" s="10" t="inlineStr">
        <is>
          <t>⬜ À enrichir</t>
        </is>
      </c>
      <c r="R68" s="10" t="n"/>
    </row>
    <row r="69" hidden="1" ht="15.75" customHeight="1" s="24">
      <c r="A69" s="6" t="n">
        <v>148</v>
      </c>
      <c r="B69" s="6" t="inlineStr">
        <is>
          <t>Aimé Providence</t>
        </is>
      </c>
      <c r="C69" s="6" t="inlineStr">
        <is>
          <t>DIHOULOU</t>
        </is>
      </c>
      <c r="D69" s="6" t="n">
        <v>2023</v>
      </c>
      <c r="E69" s="6" t="inlineStr">
        <is>
          <t>RH</t>
        </is>
      </c>
      <c r="F69" s="6" t="inlineStr">
        <is>
          <t>Bénévole</t>
        </is>
      </c>
      <c r="G69" s="6" t="inlineStr">
        <is>
          <t>2022-08-10</t>
        </is>
      </c>
      <c r="H69" s="6" t="inlineStr">
        <is>
          <t>2023-03-03</t>
        </is>
      </c>
      <c r="I69" s="6" t="n"/>
      <c r="J69" s="10" t="n"/>
      <c r="K69" s="10" t="n"/>
      <c r="L69" s="10" t="n"/>
      <c r="M69" s="10" t="n"/>
      <c r="N69" s="10" t="n"/>
      <c r="O69" s="10" t="n"/>
      <c r="P69" s="10" t="n"/>
      <c r="Q69" s="10" t="inlineStr">
        <is>
          <t>⬜ À enrichir</t>
        </is>
      </c>
      <c r="R69" s="10" t="n"/>
    </row>
    <row r="70" hidden="1" ht="15.75" customHeight="1" s="24">
      <c r="A70" s="6" t="n">
        <v>151</v>
      </c>
      <c r="B70" s="6" t="inlineStr">
        <is>
          <t>Sabrina</t>
        </is>
      </c>
      <c r="C70" s="6" t="inlineStr">
        <is>
          <t>DJIAR</t>
        </is>
      </c>
      <c r="D70" s="6" t="n">
        <v>2023</v>
      </c>
      <c r="E70" s="6" t="inlineStr">
        <is>
          <t>RH</t>
        </is>
      </c>
      <c r="F70" s="6" t="inlineStr">
        <is>
          <t>Conventioné</t>
        </is>
      </c>
      <c r="G70" s="6" t="inlineStr">
        <is>
          <t>2023-01-18</t>
        </is>
      </c>
      <c r="H70" s="6" t="inlineStr">
        <is>
          <t>2023-04-14</t>
        </is>
      </c>
      <c r="I70" s="6" t="n"/>
      <c r="J70" s="10" t="n"/>
      <c r="K70" s="10" t="n"/>
      <c r="L70" s="10" t="n"/>
      <c r="M70" s="10" t="n"/>
      <c r="N70" s="10" t="n"/>
      <c r="O70" s="10" t="n"/>
      <c r="P70" s="10" t="n"/>
      <c r="Q70" s="10" t="inlineStr">
        <is>
          <t>⬜ À enrichir</t>
        </is>
      </c>
      <c r="R70" s="10" t="n"/>
    </row>
    <row r="71" hidden="1" ht="15.75" customHeight="1" s="24">
      <c r="A71" s="6" t="n">
        <v>153</v>
      </c>
      <c r="B71" s="6" t="inlineStr">
        <is>
          <t>Jenny</t>
        </is>
      </c>
      <c r="C71" s="6" t="inlineStr">
        <is>
          <t>DJOUKOUEHI</t>
        </is>
      </c>
      <c r="D71" s="6" t="n">
        <v>2023</v>
      </c>
      <c r="E71" s="6" t="inlineStr">
        <is>
          <t>Urbanisme/ RH / Partenariats</t>
        </is>
      </c>
      <c r="F71" s="6" t="inlineStr">
        <is>
          <t>Bénévole</t>
        </is>
      </c>
      <c r="G71" s="6" t="inlineStr">
        <is>
          <t>2022-12-13</t>
        </is>
      </c>
      <c r="H71" s="6" t="inlineStr">
        <is>
          <t>2023-06-30</t>
        </is>
      </c>
      <c r="I71" s="6" t="n"/>
      <c r="J71" s="10" t="n"/>
      <c r="K71" s="10" t="n"/>
      <c r="L71" s="10" t="n"/>
      <c r="M71" s="10" t="n"/>
      <c r="N71" s="10" t="n"/>
      <c r="O71" s="10" t="n"/>
      <c r="P71" s="10" t="n"/>
      <c r="Q71" s="10" t="inlineStr">
        <is>
          <t>⬜ À enrichir</t>
        </is>
      </c>
      <c r="R71" s="10" t="n"/>
    </row>
    <row r="72" hidden="1" ht="15.75" customHeight="1" s="24">
      <c r="A72" s="6" t="n">
        <v>154</v>
      </c>
      <c r="B72" s="6" t="inlineStr">
        <is>
          <t>Aissata</t>
        </is>
      </c>
      <c r="C72" s="6" t="inlineStr">
        <is>
          <t>DOUMBIA</t>
        </is>
      </c>
      <c r="D72" s="6" t="n">
        <v>2023</v>
      </c>
      <c r="E72" s="6" t="inlineStr">
        <is>
          <t>RH</t>
        </is>
      </c>
      <c r="F72" s="6" t="inlineStr">
        <is>
          <t>Conventioné</t>
        </is>
      </c>
      <c r="G72" s="6" t="inlineStr">
        <is>
          <t>2023-03-01</t>
        </is>
      </c>
      <c r="H72" s="6" t="inlineStr">
        <is>
          <t>2023-06-30</t>
        </is>
      </c>
      <c r="I72" s="6" t="n"/>
      <c r="J72" s="10" t="n"/>
      <c r="K72" s="10" t="n"/>
      <c r="L72" s="10" t="n"/>
      <c r="M72" s="10" t="n"/>
      <c r="N72" s="10" t="n"/>
      <c r="O72" s="10" t="n"/>
      <c r="P72" s="10" t="n"/>
      <c r="Q72" s="10" t="inlineStr">
        <is>
          <t>⬜ À enrichir</t>
        </is>
      </c>
      <c r="R72" s="10" t="n"/>
    </row>
    <row r="73" hidden="1" ht="15.75" customHeight="1" s="24">
      <c r="A73" s="6" t="n">
        <v>156</v>
      </c>
      <c r="B73" s="6" t="inlineStr">
        <is>
          <t>Yann</t>
        </is>
      </c>
      <c r="C73" s="6" t="inlineStr">
        <is>
          <t>DUBOTS</t>
        </is>
      </c>
      <c r="D73" s="6" t="n">
        <v>2023</v>
      </c>
      <c r="E73" s="6" t="inlineStr">
        <is>
          <t>RH</t>
        </is>
      </c>
      <c r="F73" s="6" t="inlineStr">
        <is>
          <t>Bénévole</t>
        </is>
      </c>
      <c r="G73" s="6" t="inlineStr">
        <is>
          <t>2022-06-29</t>
        </is>
      </c>
      <c r="H73" s="6" t="inlineStr">
        <is>
          <t>2023-01-20</t>
        </is>
      </c>
      <c r="I73" s="6" t="n"/>
      <c r="J73" s="10" t="n"/>
      <c r="K73" s="10" t="n"/>
      <c r="L73" s="10" t="n"/>
      <c r="M73" s="10" t="n"/>
      <c r="N73" s="10" t="n"/>
      <c r="O73" s="10" t="n"/>
      <c r="P73" s="10" t="n"/>
      <c r="Q73" s="10" t="inlineStr">
        <is>
          <t>⬜ À enrichir</t>
        </is>
      </c>
      <c r="R73" s="10" t="n"/>
    </row>
    <row r="74" hidden="1" ht="15.75" customHeight="1" s="24">
      <c r="A74" s="6" t="n">
        <v>166</v>
      </c>
      <c r="B74" s="6" t="inlineStr">
        <is>
          <t>Rayane</t>
        </is>
      </c>
      <c r="C74" s="6" t="inlineStr">
        <is>
          <t>EL AOUEDJ</t>
        </is>
      </c>
      <c r="D74" s="6" t="n">
        <v>2023</v>
      </c>
      <c r="E74" s="6" t="inlineStr">
        <is>
          <t>RH</t>
        </is>
      </c>
      <c r="F74" s="6" t="inlineStr">
        <is>
          <t>Bénévole</t>
        </is>
      </c>
      <c r="G74" s="6" t="inlineStr">
        <is>
          <t>2022-05-10</t>
        </is>
      </c>
      <c r="H74" s="6" t="inlineStr">
        <is>
          <t>2023-02-17</t>
        </is>
      </c>
      <c r="I74" s="6" t="n"/>
      <c r="J74" s="10" t="n"/>
      <c r="K74" s="10" t="n"/>
      <c r="L74" s="10" t="n"/>
      <c r="M74" s="10" t="n"/>
      <c r="N74" s="10" t="n"/>
      <c r="O74" s="10" t="n"/>
      <c r="P74" s="10" t="n"/>
      <c r="Q74" s="10" t="inlineStr">
        <is>
          <t>⬜ À enrichir</t>
        </is>
      </c>
      <c r="R74" s="10" t="n"/>
    </row>
    <row r="75" hidden="1" ht="15.75" customHeight="1" s="24">
      <c r="A75" s="6" t="n">
        <v>169</v>
      </c>
      <c r="B75" s="6" t="inlineStr">
        <is>
          <t>Lokmane</t>
        </is>
      </c>
      <c r="C75" s="6" t="inlineStr">
        <is>
          <t>EL OMARI</t>
        </is>
      </c>
      <c r="D75" s="6" t="n">
        <v>2023</v>
      </c>
      <c r="E75" s="6" t="inlineStr">
        <is>
          <t>IT</t>
        </is>
      </c>
      <c r="F75" s="6" t="inlineStr">
        <is>
          <t>Conventioné</t>
        </is>
      </c>
      <c r="G75" s="6" t="inlineStr">
        <is>
          <t>2023-06-08</t>
        </is>
      </c>
      <c r="H75" s="6" t="inlineStr">
        <is>
          <t>2023-09-08</t>
        </is>
      </c>
      <c r="I75" s="6" t="n"/>
      <c r="J75" s="10" t="n"/>
      <c r="K75" s="10" t="n"/>
      <c r="L75" s="10" t="n"/>
      <c r="M75" s="10" t="n"/>
      <c r="N75" s="10" t="n"/>
      <c r="O75" s="10" t="n"/>
      <c r="P75" s="10" t="n"/>
      <c r="Q75" s="10" t="inlineStr">
        <is>
          <t>⬜ À enrichir</t>
        </is>
      </c>
      <c r="R75" s="10" t="n"/>
    </row>
    <row r="76" hidden="1" ht="15.75" customHeight="1" s="24">
      <c r="A76" s="6" t="n">
        <v>170</v>
      </c>
      <c r="B76" s="6" t="inlineStr">
        <is>
          <t>Amal</t>
        </is>
      </c>
      <c r="C76" s="6" t="inlineStr">
        <is>
          <t>ELHMAIDI</t>
        </is>
      </c>
      <c r="D76" s="6" t="n">
        <v>2023</v>
      </c>
      <c r="E76" s="6" t="inlineStr">
        <is>
          <t>RH</t>
        </is>
      </c>
      <c r="F76" s="6" t="inlineStr">
        <is>
          <t>Bénévole</t>
        </is>
      </c>
      <c r="G76" s="6" t="inlineStr">
        <is>
          <t>2024-02-15</t>
        </is>
      </c>
      <c r="H76" s="6" t="inlineStr">
        <is>
          <t>2023-08-18</t>
        </is>
      </c>
      <c r="I76" s="6" t="n"/>
      <c r="J76" s="10" t="n"/>
      <c r="K76" s="10" t="n"/>
      <c r="L76" s="10" t="n"/>
      <c r="M76" s="10" t="n"/>
      <c r="N76" s="10" t="n"/>
      <c r="O76" s="10" t="n"/>
      <c r="P76" s="10" t="n"/>
      <c r="Q76" s="10" t="inlineStr">
        <is>
          <t>⬜ À enrichir</t>
        </is>
      </c>
      <c r="R76" s="10" t="n"/>
    </row>
    <row r="77" hidden="1" ht="15.75" customHeight="1" s="24">
      <c r="A77" s="6" t="n">
        <v>173</v>
      </c>
      <c r="B77" s="6" t="inlineStr">
        <is>
          <t>Davy</t>
        </is>
      </c>
      <c r="C77" s="6" t="inlineStr">
        <is>
          <t>ETCHEGARAY</t>
        </is>
      </c>
      <c r="D77" s="6" t="n">
        <v>2023</v>
      </c>
      <c r="E77" s="6" t="inlineStr">
        <is>
          <t>IT</t>
        </is>
      </c>
      <c r="F77" s="6" t="inlineStr">
        <is>
          <t>Conventioné</t>
        </is>
      </c>
      <c r="G77" s="6" t="inlineStr">
        <is>
          <t>2023-01-19</t>
        </is>
      </c>
      <c r="H77" s="6" t="inlineStr">
        <is>
          <t>2023-04-21</t>
        </is>
      </c>
      <c r="I77" s="6" t="n"/>
      <c r="J77" s="10" t="n"/>
      <c r="K77" s="10" t="n"/>
      <c r="L77" s="10" t="n"/>
      <c r="M77" s="10" t="n"/>
      <c r="N77" s="10" t="n"/>
      <c r="O77" s="10" t="n"/>
      <c r="P77" s="10" t="n"/>
      <c r="Q77" s="10" t="inlineStr">
        <is>
          <t>⬜ À enrichir</t>
        </is>
      </c>
      <c r="R77" s="10" t="n"/>
    </row>
    <row r="78" hidden="1" ht="15.75" customHeight="1" s="24">
      <c r="A78" s="6" t="n">
        <v>176</v>
      </c>
      <c r="B78" s="6" t="inlineStr">
        <is>
          <t>Fatima</t>
        </is>
      </c>
      <c r="C78" s="6" t="inlineStr">
        <is>
          <t>EZ ZAHRA MALI</t>
        </is>
      </c>
      <c r="D78" s="6" t="n">
        <v>2023</v>
      </c>
      <c r="E78" s="6" t="inlineStr">
        <is>
          <t>CM</t>
        </is>
      </c>
      <c r="F78" s="6" t="inlineStr">
        <is>
          <t>Bénévole</t>
        </is>
      </c>
      <c r="G78" s="6" t="inlineStr">
        <is>
          <t>2023-08-16</t>
        </is>
      </c>
      <c r="H78" s="6" t="inlineStr">
        <is>
          <t>2024-03-08</t>
        </is>
      </c>
      <c r="I78" s="6" t="n"/>
      <c r="J78" s="10" t="n"/>
      <c r="K78" s="10" t="n"/>
      <c r="L78" s="10" t="n"/>
      <c r="M78" s="10" t="n"/>
      <c r="N78" s="10" t="n"/>
      <c r="O78" s="10" t="n"/>
      <c r="P78" s="10" t="n"/>
      <c r="Q78" s="10" t="inlineStr">
        <is>
          <t>⬜ À enrichir</t>
        </is>
      </c>
      <c r="R78" s="10" t="n"/>
    </row>
    <row r="79" hidden="1" ht="15.75" customHeight="1" s="24">
      <c r="A79" s="6" t="n">
        <v>177</v>
      </c>
      <c r="B79" s="6" t="inlineStr">
        <is>
          <t>Mahmoud</t>
        </is>
      </c>
      <c r="C79" s="6" t="inlineStr">
        <is>
          <t>FADIGA</t>
        </is>
      </c>
      <c r="D79" s="6" t="n">
        <v>2023</v>
      </c>
      <c r="E79" s="6" t="inlineStr">
        <is>
          <t>Statistiques</t>
        </is>
      </c>
      <c r="F79" s="6" t="inlineStr">
        <is>
          <t>Conventioné</t>
        </is>
      </c>
      <c r="G79" s="6" t="inlineStr">
        <is>
          <t>2023-04-03</t>
        </is>
      </c>
      <c r="H79" s="6" t="inlineStr">
        <is>
          <t>2023-06-30</t>
        </is>
      </c>
      <c r="I79" s="6" t="n"/>
      <c r="J79" s="10" t="n"/>
      <c r="K79" s="10" t="n"/>
      <c r="L79" s="10" t="n"/>
      <c r="M79" s="10" t="n"/>
      <c r="N79" s="10" t="n"/>
      <c r="O79" s="10" t="n"/>
      <c r="P79" s="10" t="n"/>
      <c r="Q79" s="10" t="inlineStr">
        <is>
          <t>⬜ À enrichir</t>
        </is>
      </c>
      <c r="R79" s="10" t="n"/>
    </row>
    <row r="80" hidden="1" ht="15.75" customHeight="1" s="24">
      <c r="A80" s="6" t="n">
        <v>178</v>
      </c>
      <c r="B80" s="6" t="inlineStr">
        <is>
          <t>Léa</t>
        </is>
      </c>
      <c r="C80" s="6" t="inlineStr">
        <is>
          <t>FAIDA CHISHIBANJI</t>
        </is>
      </c>
      <c r="D80" s="6" t="n">
        <v>2023</v>
      </c>
      <c r="E80" s="6" t="inlineStr">
        <is>
          <t>PAC</t>
        </is>
      </c>
      <c r="F80" s="6" t="inlineStr">
        <is>
          <t>Bénévole</t>
        </is>
      </c>
      <c r="G80" s="6" t="inlineStr">
        <is>
          <t>2023-05-02</t>
        </is>
      </c>
      <c r="H80" s="6" t="inlineStr">
        <is>
          <t>2023-08-04</t>
        </is>
      </c>
      <c r="I80" s="6" t="n"/>
      <c r="J80" s="10" t="n"/>
      <c r="K80" s="10" t="n"/>
      <c r="L80" s="10" t="n"/>
      <c r="M80" s="10" t="n"/>
      <c r="N80" s="10" t="n"/>
      <c r="O80" s="10" t="n"/>
      <c r="P80" s="10" t="n"/>
      <c r="Q80" s="10" t="inlineStr">
        <is>
          <t>⬜ À enrichir</t>
        </is>
      </c>
      <c r="R80" s="10" t="n"/>
    </row>
    <row r="81" hidden="1" ht="15.75" customHeight="1" s="24">
      <c r="A81" s="6" t="n">
        <v>179</v>
      </c>
      <c r="B81" s="6" t="inlineStr">
        <is>
          <t>Andrea</t>
        </is>
      </c>
      <c r="C81" s="6" t="inlineStr">
        <is>
          <t>FARIOLI</t>
        </is>
      </c>
      <c r="D81" s="6" t="n">
        <v>2023</v>
      </c>
      <c r="E81" s="6" t="inlineStr">
        <is>
          <t>RH</t>
        </is>
      </c>
      <c r="F81" s="6" t="inlineStr">
        <is>
          <t>Bénévole</t>
        </is>
      </c>
      <c r="G81" s="6" t="inlineStr">
        <is>
          <t>2023-04-12</t>
        </is>
      </c>
      <c r="H81" s="6" t="inlineStr">
        <is>
          <t>2023-10-13</t>
        </is>
      </c>
      <c r="I81" s="6" t="n"/>
      <c r="J81" s="10" t="n"/>
      <c r="K81" s="10" t="n"/>
      <c r="L81" s="10" t="n"/>
      <c r="M81" s="10" t="n"/>
      <c r="N81" s="10" t="n"/>
      <c r="O81" s="10" t="n"/>
      <c r="P81" s="10" t="n"/>
      <c r="Q81" s="10" t="inlineStr">
        <is>
          <t>⬜ À enrichir</t>
        </is>
      </c>
      <c r="R81" s="10" t="n"/>
    </row>
    <row r="82" hidden="1" ht="15.75" customHeight="1" s="24">
      <c r="A82" s="6" t="n">
        <v>180</v>
      </c>
      <c r="B82" s="6" t="inlineStr">
        <is>
          <t>Maria</t>
        </is>
      </c>
      <c r="C82" s="6" t="inlineStr">
        <is>
          <t>FARISS</t>
        </is>
      </c>
      <c r="D82" s="6" t="n">
        <v>2023</v>
      </c>
      <c r="E82" s="6" t="inlineStr">
        <is>
          <t>IT</t>
        </is>
      </c>
      <c r="F82" s="6" t="inlineStr">
        <is>
          <t>Conventioné</t>
        </is>
      </c>
      <c r="G82" s="6" t="inlineStr">
        <is>
          <t>2023-06-08</t>
        </is>
      </c>
      <c r="H82" s="6" t="inlineStr">
        <is>
          <t>2023-09-08</t>
        </is>
      </c>
      <c r="I82" s="6" t="n"/>
      <c r="J82" s="10" t="n"/>
      <c r="K82" s="10" t="n"/>
      <c r="L82" s="10" t="n"/>
      <c r="M82" s="10" t="n"/>
      <c r="N82" s="10" t="n"/>
      <c r="O82" s="10" t="n"/>
      <c r="P82" s="10" t="n"/>
      <c r="Q82" s="10" t="inlineStr">
        <is>
          <t>⬜ À enrichir</t>
        </is>
      </c>
      <c r="R82" s="10" t="n"/>
    </row>
    <row r="83" hidden="1" ht="15.75" customHeight="1" s="24">
      <c r="A83" s="6" t="n">
        <v>182</v>
      </c>
      <c r="B83" s="6" t="inlineStr">
        <is>
          <t>Eugénie</t>
        </is>
      </c>
      <c r="C83" s="6" t="inlineStr">
        <is>
          <t>FERBEYRE</t>
        </is>
      </c>
      <c r="D83" s="6" t="n">
        <v>2023</v>
      </c>
      <c r="E83" s="6" t="inlineStr">
        <is>
          <t>IT</t>
        </is>
      </c>
      <c r="F83" s="6" t="inlineStr">
        <is>
          <t>Conventioné</t>
        </is>
      </c>
      <c r="G83" s="6" t="inlineStr">
        <is>
          <t>2023-11-20</t>
        </is>
      </c>
      <c r="H83" s="6" t="inlineStr">
        <is>
          <t>2024-03-12</t>
        </is>
      </c>
      <c r="I83" s="6" t="n"/>
      <c r="J83" s="10" t="n"/>
      <c r="K83" s="10" t="n"/>
      <c r="L83" s="10" t="n"/>
      <c r="M83" s="10" t="n"/>
      <c r="N83" s="10" t="n"/>
      <c r="O83" s="10" t="n"/>
      <c r="P83" s="10" t="n"/>
      <c r="Q83" s="10" t="inlineStr">
        <is>
          <t>⬜ À enrichir</t>
        </is>
      </c>
      <c r="R83" s="10" t="n"/>
    </row>
    <row r="84" hidden="1" ht="15.75" customHeight="1" s="24">
      <c r="A84" s="6" t="n">
        <v>183</v>
      </c>
      <c r="B84" s="6" t="inlineStr">
        <is>
          <t>Joel</t>
        </is>
      </c>
      <c r="C84" s="6" t="inlineStr">
        <is>
          <t>FERREIRA</t>
        </is>
      </c>
      <c r="D84" s="6" t="n">
        <v>2023</v>
      </c>
      <c r="E84" s="6" t="inlineStr">
        <is>
          <t>IT</t>
        </is>
      </c>
      <c r="F84" s="6" t="inlineStr">
        <is>
          <t>Bénévole</t>
        </is>
      </c>
      <c r="G84" s="6" t="inlineStr">
        <is>
          <t>2023-02-02</t>
        </is>
      </c>
      <c r="H84" s="6" t="inlineStr">
        <is>
          <t>2023-05-02</t>
        </is>
      </c>
      <c r="I84" s="6" t="n"/>
      <c r="J84" s="10" t="n"/>
      <c r="K84" s="10" t="n"/>
      <c r="L84" s="10" t="n"/>
      <c r="M84" s="10" t="n"/>
      <c r="N84" s="10" t="n"/>
      <c r="O84" s="10" t="n"/>
      <c r="P84" s="10" t="n"/>
      <c r="Q84" s="10" t="inlineStr">
        <is>
          <t>⬜ À enrichir</t>
        </is>
      </c>
      <c r="R84" s="10" t="n"/>
    </row>
    <row r="85" hidden="1" ht="15.75" customHeight="1" s="24">
      <c r="A85" s="6" t="n">
        <v>188</v>
      </c>
      <c r="B85" s="6" t="inlineStr">
        <is>
          <t>Benjamin</t>
        </is>
      </c>
      <c r="C85" s="6" t="inlineStr">
        <is>
          <t>FONVERT</t>
        </is>
      </c>
      <c r="D85" s="6" t="n">
        <v>2023</v>
      </c>
      <c r="E85" s="6" t="inlineStr">
        <is>
          <t>Marketing</t>
        </is>
      </c>
      <c r="F85" s="6" t="inlineStr">
        <is>
          <t>Conventioné</t>
        </is>
      </c>
      <c r="G85" s="6" t="inlineStr">
        <is>
          <t>2022-11-28</t>
        </is>
      </c>
      <c r="H85" s="6" t="inlineStr">
        <is>
          <t>2023-02-17</t>
        </is>
      </c>
      <c r="I85" s="6" t="n"/>
      <c r="J85" s="10" t="n"/>
      <c r="K85" s="10" t="n"/>
      <c r="L85" s="10" t="n"/>
      <c r="M85" s="10" t="n"/>
      <c r="N85" s="10" t="n"/>
      <c r="O85" s="10" t="n"/>
      <c r="P85" s="10" t="n"/>
      <c r="Q85" s="10" t="inlineStr">
        <is>
          <t>⬜ À enrichir</t>
        </is>
      </c>
      <c r="R85" s="10" t="n"/>
    </row>
    <row r="86" hidden="1" ht="15.75" customHeight="1" s="24">
      <c r="A86" s="6" t="n">
        <v>191</v>
      </c>
      <c r="B86" s="6" t="inlineStr">
        <is>
          <t>Anis</t>
        </is>
      </c>
      <c r="C86" s="6" t="inlineStr">
        <is>
          <t>FTOUHI</t>
        </is>
      </c>
      <c r="D86" s="6" t="n">
        <v>2023</v>
      </c>
      <c r="E86" s="6" t="inlineStr">
        <is>
          <t>RH</t>
        </is>
      </c>
      <c r="F86" s="6" t="inlineStr">
        <is>
          <t>Bénévole</t>
        </is>
      </c>
      <c r="G86" s="6" t="inlineStr">
        <is>
          <t>2023-02-01</t>
        </is>
      </c>
      <c r="H86" s="6" t="inlineStr">
        <is>
          <t>2023-08-04</t>
        </is>
      </c>
      <c r="I86" s="6" t="n"/>
      <c r="J86" s="10" t="n"/>
      <c r="K86" s="10" t="n"/>
      <c r="L86" s="10" t="n"/>
      <c r="M86" s="10" t="n"/>
      <c r="N86" s="10" t="n"/>
      <c r="O86" s="10" t="n"/>
      <c r="P86" s="10" t="n"/>
      <c r="Q86" s="10" t="inlineStr">
        <is>
          <t>⬜ À enrichir</t>
        </is>
      </c>
      <c r="R86" s="10" t="n"/>
    </row>
    <row r="87" hidden="1" ht="15.75" customHeight="1" s="24">
      <c r="A87" s="6" t="n">
        <v>193</v>
      </c>
      <c r="B87" s="6" t="inlineStr">
        <is>
          <t>Zully</t>
        </is>
      </c>
      <c r="C87" s="6" t="inlineStr">
        <is>
          <t>Faralli</t>
        </is>
      </c>
      <c r="D87" s="6" t="n">
        <v>2023</v>
      </c>
      <c r="E87" s="6" t="inlineStr">
        <is>
          <t xml:space="preserve">Osez l'entreponoriat - marketing opérationnale sociologie d'entreprise  Statistique  recherche - Trent </t>
        </is>
      </c>
      <c r="F87" s="6" t="inlineStr">
        <is>
          <t>Bénévole</t>
        </is>
      </c>
      <c r="G87" s="6" t="inlineStr">
        <is>
          <t>2023-10-30</t>
        </is>
      </c>
      <c r="H87" s="6" t="inlineStr">
        <is>
          <t>2024-05-24</t>
        </is>
      </c>
      <c r="I87" s="6" t="inlineStr">
        <is>
          <t>Non</t>
        </is>
      </c>
      <c r="J87" s="10" t="n"/>
      <c r="K87" s="10" t="n"/>
      <c r="L87" s="10" t="n"/>
      <c r="M87" s="10" t="n"/>
      <c r="N87" s="10" t="n"/>
      <c r="O87" s="10" t="n"/>
      <c r="P87" s="10" t="n"/>
      <c r="Q87" s="10" t="inlineStr">
        <is>
          <t>⬜ À enrichir</t>
        </is>
      </c>
      <c r="R87" s="10" t="n"/>
    </row>
    <row r="88" hidden="1" ht="15.75" customHeight="1" s="24">
      <c r="A88" s="6" t="n">
        <v>194</v>
      </c>
      <c r="B88" s="6" t="inlineStr">
        <is>
          <t>Sadia</t>
        </is>
      </c>
      <c r="C88" s="6" t="inlineStr">
        <is>
          <t>Franck Tao</t>
        </is>
      </c>
      <c r="D88" s="6" t="n">
        <v>2023</v>
      </c>
      <c r="E88" s="6" t="inlineStr">
        <is>
          <t>QVT SLP Référentiel : Empreinte chromatique</t>
        </is>
      </c>
      <c r="F88" s="6" t="inlineStr">
        <is>
          <t>Bénévole</t>
        </is>
      </c>
      <c r="G88" s="6" t="inlineStr">
        <is>
          <t>2022-08-02</t>
        </is>
      </c>
      <c r="H88" s="6" t="inlineStr">
        <is>
          <t>14/0772026</t>
        </is>
      </c>
      <c r="I88" s="6" t="n"/>
      <c r="J88" s="10" t="n"/>
      <c r="K88" s="10" t="n"/>
      <c r="L88" s="10" t="n"/>
      <c r="M88" s="10" t="n"/>
      <c r="N88" s="10" t="n"/>
      <c r="O88" s="10" t="n"/>
      <c r="P88" s="10" t="n"/>
      <c r="Q88" s="10" t="inlineStr">
        <is>
          <t>⬜ À enrichir</t>
        </is>
      </c>
      <c r="R88" s="10" t="n"/>
    </row>
    <row r="89" hidden="1" ht="15.75" customHeight="1" s="24">
      <c r="A89" s="6" t="n">
        <v>198</v>
      </c>
      <c r="B89" s="6" t="inlineStr">
        <is>
          <t>RANIA</t>
        </is>
      </c>
      <c r="C89" s="6" t="inlineStr">
        <is>
          <t>GAIDA</t>
        </is>
      </c>
      <c r="D89" s="6" t="n">
        <v>2023</v>
      </c>
      <c r="E89" s="6" t="inlineStr">
        <is>
          <t xml:space="preserve">Juridique </t>
        </is>
      </c>
      <c r="F89" s="6" t="inlineStr">
        <is>
          <t>Bénévole</t>
        </is>
      </c>
      <c r="G89" s="6" t="inlineStr">
        <is>
          <t>2023-05-15</t>
        </is>
      </c>
      <c r="H89" s="6" t="inlineStr">
        <is>
          <t>2023-11-17</t>
        </is>
      </c>
      <c r="I89" s="6" t="inlineStr">
        <is>
          <t>Non</t>
        </is>
      </c>
      <c r="J89" s="10" t="n"/>
      <c r="K89" s="10" t="n"/>
      <c r="L89" s="10" t="n"/>
      <c r="M89" s="10" t="n"/>
      <c r="N89" s="10" t="n"/>
      <c r="O89" s="10" t="n"/>
      <c r="P89" s="10" t="n"/>
      <c r="Q89" s="10" t="inlineStr">
        <is>
          <t>⬜ À enrichir</t>
        </is>
      </c>
      <c r="R89" s="10" t="n"/>
    </row>
    <row r="90" hidden="1" ht="15.75" customHeight="1" s="24">
      <c r="A90" s="6" t="n">
        <v>199</v>
      </c>
      <c r="B90" s="6" t="inlineStr">
        <is>
          <t>Marko</t>
        </is>
      </c>
      <c r="C90" s="6" t="inlineStr">
        <is>
          <t>GAJIC</t>
        </is>
      </c>
      <c r="D90" s="6" t="n">
        <v>2023</v>
      </c>
      <c r="E90" s="6" t="inlineStr">
        <is>
          <t xml:space="preserve">GCC/ SC/ Partenariat </t>
        </is>
      </c>
      <c r="F90" s="6" t="inlineStr">
        <is>
          <t>Conventioné</t>
        </is>
      </c>
      <c r="G90" s="6" t="inlineStr">
        <is>
          <t>2023-10-16</t>
        </is>
      </c>
      <c r="H90" s="6" t="inlineStr">
        <is>
          <t>2024-02-09</t>
        </is>
      </c>
      <c r="I90" s="6" t="n"/>
      <c r="J90" s="10" t="n"/>
      <c r="K90" s="10" t="n"/>
      <c r="L90" s="10" t="n"/>
      <c r="M90" s="10" t="n"/>
      <c r="N90" s="10" t="n"/>
      <c r="O90" s="10" t="n"/>
      <c r="P90" s="10" t="n"/>
      <c r="Q90" s="10" t="inlineStr">
        <is>
          <t>⬜ À enrichir</t>
        </is>
      </c>
      <c r="R90" s="10" t="n"/>
    </row>
    <row r="91" hidden="1" ht="15.75" customHeight="1" s="24">
      <c r="A91" s="6" t="n">
        <v>202</v>
      </c>
      <c r="B91" s="6" t="inlineStr">
        <is>
          <t>Marta</t>
        </is>
      </c>
      <c r="C91" s="6" t="inlineStr">
        <is>
          <t>GARZOZZO</t>
        </is>
      </c>
      <c r="D91" s="6" t="n">
        <v>2023</v>
      </c>
      <c r="E91" s="6" t="inlineStr">
        <is>
          <t>RH</t>
        </is>
      </c>
      <c r="F91" s="6" t="inlineStr">
        <is>
          <t>Bénévole</t>
        </is>
      </c>
      <c r="G91" s="6" t="inlineStr">
        <is>
          <t>2022-01-26</t>
        </is>
      </c>
      <c r="H91" s="6" t="inlineStr">
        <is>
          <t>2022-07-29</t>
        </is>
      </c>
      <c r="I91" s="6" t="n"/>
      <c r="J91" s="10" t="n"/>
      <c r="K91" s="10" t="n"/>
      <c r="L91" s="10" t="n"/>
      <c r="M91" s="10" t="n"/>
      <c r="N91" s="10" t="n"/>
      <c r="O91" s="10" t="n"/>
      <c r="P91" s="10" t="n"/>
      <c r="Q91" s="10" t="inlineStr">
        <is>
          <t>⬜ À enrichir</t>
        </is>
      </c>
      <c r="R91" s="10" t="n"/>
    </row>
    <row r="92" hidden="1" ht="15.75" customHeight="1" s="24">
      <c r="A92" s="6" t="n">
        <v>205</v>
      </c>
      <c r="B92" s="6" t="inlineStr">
        <is>
          <t>Clémentine</t>
        </is>
      </c>
      <c r="C92" s="6" t="inlineStr">
        <is>
          <t>GIRARD</t>
        </is>
      </c>
      <c r="D92" s="6" t="n">
        <v>2023</v>
      </c>
      <c r="E92" s="6" t="inlineStr">
        <is>
          <t>RH</t>
        </is>
      </c>
      <c r="F92" s="6" t="inlineStr">
        <is>
          <t>Conventioné</t>
        </is>
      </c>
      <c r="G92" s="6" t="inlineStr">
        <is>
          <t>2022-11-30</t>
        </is>
      </c>
      <c r="H92" s="6" t="inlineStr">
        <is>
          <t>2023-08-04</t>
        </is>
      </c>
      <c r="I92" s="6" t="n"/>
      <c r="J92" s="10" t="n"/>
      <c r="K92" s="10" t="n"/>
      <c r="L92" s="10" t="n"/>
      <c r="M92" s="10" t="n"/>
      <c r="N92" s="10" t="n"/>
      <c r="O92" s="10" t="n"/>
      <c r="P92" s="10" t="n"/>
      <c r="Q92" s="10" t="inlineStr">
        <is>
          <t>⬜ À enrichir</t>
        </is>
      </c>
      <c r="R92" s="10" t="n"/>
    </row>
    <row r="93" hidden="1" ht="15.75" customHeight="1" s="24">
      <c r="A93" s="6" t="n">
        <v>208</v>
      </c>
      <c r="B93" s="6" t="inlineStr">
        <is>
          <t>Julie</t>
        </is>
      </c>
      <c r="C93" s="6" t="inlineStr">
        <is>
          <t>GOUIN</t>
        </is>
      </c>
      <c r="D93" s="6" t="n">
        <v>2023</v>
      </c>
      <c r="E93" s="6" t="inlineStr">
        <is>
          <t>IT</t>
        </is>
      </c>
      <c r="F93" s="6" t="inlineStr">
        <is>
          <t>Bénévole</t>
        </is>
      </c>
      <c r="G93" s="6" t="inlineStr">
        <is>
          <t>2023-10-12</t>
        </is>
      </c>
      <c r="H93" s="6" t="inlineStr">
        <is>
          <t>2023-04-05</t>
        </is>
      </c>
      <c r="I93" s="6" t="n"/>
      <c r="J93" s="10" t="n"/>
      <c r="K93" s="10" t="n"/>
      <c r="L93" s="10" t="n"/>
      <c r="M93" s="10" t="n"/>
      <c r="N93" s="10" t="n"/>
      <c r="O93" s="10" t="n"/>
      <c r="P93" s="10" t="n"/>
      <c r="Q93" s="10" t="inlineStr">
        <is>
          <t>⬜ À enrichir</t>
        </is>
      </c>
      <c r="R93" s="10" t="n"/>
    </row>
    <row r="94" hidden="1" ht="15.75" customHeight="1" s="24">
      <c r="A94" s="6" t="n">
        <v>210</v>
      </c>
      <c r="B94" s="6" t="inlineStr">
        <is>
          <t>Laura</t>
        </is>
      </c>
      <c r="C94" s="6" t="inlineStr">
        <is>
          <t>GRENIER</t>
        </is>
      </c>
      <c r="D94" s="6" t="n">
        <v>2023</v>
      </c>
      <c r="E94" s="6" t="inlineStr">
        <is>
          <t>RH</t>
        </is>
      </c>
      <c r="F94" s="6" t="inlineStr">
        <is>
          <t>Conventioné</t>
        </is>
      </c>
      <c r="G94" s="6" t="inlineStr">
        <is>
          <t>2022-11-02</t>
        </is>
      </c>
      <c r="H94" s="6" t="inlineStr">
        <is>
          <t>2023-02-10</t>
        </is>
      </c>
      <c r="I94" s="6" t="n"/>
      <c r="J94" s="10" t="n"/>
      <c r="K94" s="10" t="n"/>
      <c r="L94" s="10" t="n"/>
      <c r="M94" s="10" t="n"/>
      <c r="N94" s="10" t="n"/>
      <c r="O94" s="10" t="n"/>
      <c r="P94" s="10" t="n"/>
      <c r="Q94" s="10" t="inlineStr">
        <is>
          <t>⬜ À enrichir</t>
        </is>
      </c>
      <c r="R94" s="10" t="n"/>
    </row>
    <row r="95" hidden="1" ht="15.75" customHeight="1" s="24">
      <c r="A95" s="6" t="n">
        <v>211</v>
      </c>
      <c r="B95" s="6" t="inlineStr">
        <is>
          <t>Isabelle</t>
        </is>
      </c>
      <c r="C95" s="6" t="inlineStr">
        <is>
          <t>GRISAR</t>
        </is>
      </c>
      <c r="D95" s="6" t="n">
        <v>2023</v>
      </c>
      <c r="E95" s="6" t="inlineStr">
        <is>
          <t>RH</t>
        </is>
      </c>
      <c r="F95" s="6" t="inlineStr">
        <is>
          <t>Bénévole</t>
        </is>
      </c>
      <c r="G95" s="6" t="inlineStr">
        <is>
          <t>2022-06-06</t>
        </is>
      </c>
      <c r="H95" s="6" t="inlineStr">
        <is>
          <t>2023-01-27</t>
        </is>
      </c>
      <c r="I95" s="6" t="n"/>
      <c r="J95" s="10" t="n"/>
      <c r="K95" s="10" t="n"/>
      <c r="L95" s="10" t="n"/>
      <c r="M95" s="10" t="n"/>
      <c r="N95" s="10" t="n"/>
      <c r="O95" s="10" t="n"/>
      <c r="P95" s="10" t="n"/>
      <c r="Q95" s="10" t="inlineStr">
        <is>
          <t>⬜ À enrichir</t>
        </is>
      </c>
      <c r="R95" s="10" t="n"/>
    </row>
    <row r="96" hidden="1" ht="15.75" customHeight="1" s="24">
      <c r="A96" s="6" t="n">
        <v>215</v>
      </c>
      <c r="B96" s="6" t="inlineStr">
        <is>
          <t>Romain</t>
        </is>
      </c>
      <c r="C96" s="6" t="inlineStr">
        <is>
          <t>GUITTON</t>
        </is>
      </c>
      <c r="D96" s="6" t="n">
        <v>2023</v>
      </c>
      <c r="E96" s="6" t="inlineStr">
        <is>
          <t>RH</t>
        </is>
      </c>
      <c r="F96" s="6" t="inlineStr">
        <is>
          <t>Conventioné</t>
        </is>
      </c>
      <c r="G96" s="6" t="inlineStr">
        <is>
          <t>2022-04-13</t>
        </is>
      </c>
      <c r="H96" s="6" t="inlineStr">
        <is>
          <t>2022-07-29</t>
        </is>
      </c>
      <c r="I96" s="6" t="n"/>
      <c r="J96" s="10" t="n"/>
      <c r="K96" s="10" t="n"/>
      <c r="L96" s="10" t="n"/>
      <c r="M96" s="10" t="n"/>
      <c r="N96" s="10" t="n"/>
      <c r="O96" s="10" t="n"/>
      <c r="P96" s="10" t="n"/>
      <c r="Q96" s="10" t="inlineStr">
        <is>
          <t>⬜ À enrichir</t>
        </is>
      </c>
      <c r="R96" s="10" t="n"/>
    </row>
    <row r="97" hidden="1" ht="15.75" customHeight="1" s="24">
      <c r="A97" s="6" t="n">
        <v>219</v>
      </c>
      <c r="B97" s="6" t="inlineStr">
        <is>
          <t>Romain</t>
        </is>
      </c>
      <c r="C97" s="6" t="inlineStr">
        <is>
          <t>Gras</t>
        </is>
      </c>
      <c r="D97" s="6" t="n">
        <v>2023</v>
      </c>
      <c r="E97" s="6" t="inlineStr">
        <is>
          <t>IT</t>
        </is>
      </c>
      <c r="F97" s="6" t="inlineStr">
        <is>
          <t>Bénévole</t>
        </is>
      </c>
      <c r="G97" s="6" t="inlineStr">
        <is>
          <t>2023-07-20</t>
        </is>
      </c>
      <c r="H97" s="6" t="inlineStr">
        <is>
          <t>2023-10-20</t>
        </is>
      </c>
      <c r="I97" s="6" t="inlineStr">
        <is>
          <t>Non</t>
        </is>
      </c>
      <c r="J97" s="10" t="n"/>
      <c r="K97" s="10" t="n"/>
      <c r="L97" s="10" t="n"/>
      <c r="M97" s="10" t="n"/>
      <c r="N97" s="10" t="n"/>
      <c r="O97" s="10" t="n"/>
      <c r="P97" s="10" t="n"/>
      <c r="Q97" s="10" t="inlineStr">
        <is>
          <t>⬜ À enrichir</t>
        </is>
      </c>
      <c r="R97" s="10" t="n"/>
    </row>
    <row r="98" hidden="1" ht="15.75" customHeight="1" s="24">
      <c r="A98" s="6" t="n">
        <v>221</v>
      </c>
      <c r="B98" s="6" t="inlineStr">
        <is>
          <t>Tidiane</t>
        </is>
      </c>
      <c r="C98" s="6" t="inlineStr">
        <is>
          <t>Gueye</t>
        </is>
      </c>
      <c r="D98" s="6" t="n">
        <v>2023</v>
      </c>
      <c r="E98" s="6" t="inlineStr">
        <is>
          <t>Branding - Repertoire Vert CM   Partenariat</t>
        </is>
      </c>
      <c r="F98" s="6" t="inlineStr">
        <is>
          <t>Conventioné</t>
        </is>
      </c>
      <c r="G98" s="6" t="inlineStr">
        <is>
          <t>2023-04-24</t>
        </is>
      </c>
      <c r="H98" s="6" t="inlineStr">
        <is>
          <t>2023-09-29</t>
        </is>
      </c>
      <c r="I98" s="6" t="inlineStr">
        <is>
          <t>Non</t>
        </is>
      </c>
      <c r="J98" s="10" t="n"/>
      <c r="K98" s="10" t="n"/>
      <c r="L98" s="10" t="n"/>
      <c r="M98" s="10" t="n"/>
      <c r="N98" s="10" t="n"/>
      <c r="O98" s="10" t="n"/>
      <c r="P98" s="10" t="n"/>
      <c r="Q98" s="10" t="inlineStr">
        <is>
          <t>⬜ À enrichir</t>
        </is>
      </c>
      <c r="R98" s="10" t="n"/>
    </row>
    <row r="99" hidden="1" ht="15.75" customHeight="1" s="24">
      <c r="A99" s="6" t="n">
        <v>223</v>
      </c>
      <c r="B99" s="6" t="inlineStr">
        <is>
          <t>Florentin</t>
        </is>
      </c>
      <c r="C99" s="6" t="inlineStr">
        <is>
          <t>HARMAND</t>
        </is>
      </c>
      <c r="D99" s="6" t="n">
        <v>2023</v>
      </c>
      <c r="E99" s="6" t="inlineStr">
        <is>
          <t>IT</t>
        </is>
      </c>
      <c r="F99" s="6" t="inlineStr">
        <is>
          <t>Conventioné</t>
        </is>
      </c>
      <c r="G99" s="6" t="inlineStr">
        <is>
          <t>2023-03-09</t>
        </is>
      </c>
      <c r="H99" s="6" t="inlineStr">
        <is>
          <t>2023-06-02</t>
        </is>
      </c>
      <c r="I99" s="6" t="n"/>
      <c r="J99" s="10" t="n"/>
      <c r="K99" s="10" t="n"/>
      <c r="L99" s="10" t="n"/>
      <c r="M99" s="10" t="n"/>
      <c r="N99" s="10" t="n"/>
      <c r="O99" s="10" t="n"/>
      <c r="P99" s="10" t="n"/>
      <c r="Q99" s="10" t="inlineStr">
        <is>
          <t>⬜ À enrichir</t>
        </is>
      </c>
      <c r="R99" s="10" t="n"/>
    </row>
    <row r="100" hidden="1" ht="15.75" customHeight="1" s="24">
      <c r="A100" s="6" t="n">
        <v>225</v>
      </c>
      <c r="B100" s="6" t="inlineStr">
        <is>
          <t>Hugo</t>
        </is>
      </c>
      <c r="C100" s="6" t="inlineStr">
        <is>
          <t>HENCK</t>
        </is>
      </c>
      <c r="D100" s="6" t="n">
        <v>2023</v>
      </c>
      <c r="E100" s="6" t="inlineStr">
        <is>
          <t xml:space="preserve">Publication </t>
        </is>
      </c>
      <c r="F100" s="6" t="inlineStr">
        <is>
          <t>Bénévole</t>
        </is>
      </c>
      <c r="G100" s="6" t="inlineStr">
        <is>
          <t>2022-11-08</t>
        </is>
      </c>
      <c r="H100" s="6" t="inlineStr">
        <is>
          <t>2023-05-26</t>
        </is>
      </c>
      <c r="I100" s="6" t="n"/>
      <c r="J100" s="10" t="n"/>
      <c r="K100" s="10" t="n"/>
      <c r="L100" s="10" t="n"/>
      <c r="M100" s="10" t="n"/>
      <c r="N100" s="10" t="n"/>
      <c r="O100" s="10" t="n"/>
      <c r="P100" s="10" t="n"/>
      <c r="Q100" s="10" t="inlineStr">
        <is>
          <t>⬜ À enrichir</t>
        </is>
      </c>
      <c r="R100" s="10" t="n"/>
    </row>
    <row r="101" hidden="1" ht="15.75" customHeight="1" s="24">
      <c r="A101" s="6" t="n">
        <v>226</v>
      </c>
      <c r="B101" s="6" t="inlineStr">
        <is>
          <t>Kevin</t>
        </is>
      </c>
      <c r="C101" s="6" t="inlineStr">
        <is>
          <t>HERVE</t>
        </is>
      </c>
      <c r="D101" s="6" t="n">
        <v>2023</v>
      </c>
      <c r="E101" s="6" t="inlineStr">
        <is>
          <t xml:space="preserve">Agriculture durable </t>
        </is>
      </c>
      <c r="F101" s="6" t="inlineStr">
        <is>
          <t>Bénévole</t>
        </is>
      </c>
      <c r="G101" s="6" t="inlineStr">
        <is>
          <t>2023-02-07</t>
        </is>
      </c>
      <c r="H101" s="6" t="inlineStr">
        <is>
          <t>2023-05-05</t>
        </is>
      </c>
      <c r="I101" s="6" t="n"/>
      <c r="J101" s="10" t="n"/>
      <c r="K101" s="10" t="n"/>
      <c r="L101" s="10" t="n"/>
      <c r="M101" s="10" t="n"/>
      <c r="N101" s="10" t="n"/>
      <c r="O101" s="10" t="n"/>
      <c r="P101" s="10" t="n"/>
      <c r="Q101" s="10" t="inlineStr">
        <is>
          <t>⬜ À enrichir</t>
        </is>
      </c>
      <c r="R101" s="10" t="n"/>
    </row>
    <row r="102" hidden="1" ht="15.75" customHeight="1" s="24">
      <c r="A102" s="6" t="n">
        <v>227</v>
      </c>
      <c r="B102" s="6" t="inlineStr">
        <is>
          <t>Nouhaila</t>
        </is>
      </c>
      <c r="C102" s="6" t="inlineStr">
        <is>
          <t>HIKMI</t>
        </is>
      </c>
      <c r="D102" s="6" t="n">
        <v>2023</v>
      </c>
      <c r="E102" s="6" t="inlineStr">
        <is>
          <t>IT</t>
        </is>
      </c>
      <c r="F102" s="6" t="inlineStr">
        <is>
          <t>Conventioné</t>
        </is>
      </c>
      <c r="G102" s="6" t="inlineStr">
        <is>
          <t>2023-03-09</t>
        </is>
      </c>
      <c r="H102" s="6" t="inlineStr">
        <is>
          <t>2023-08-04</t>
        </is>
      </c>
      <c r="I102" s="6" t="n"/>
      <c r="J102" s="10" t="n"/>
      <c r="K102" s="10" t="n"/>
      <c r="L102" s="10" t="n"/>
      <c r="M102" s="10" t="n"/>
      <c r="N102" s="10" t="n"/>
      <c r="O102" s="10" t="n"/>
      <c r="P102" s="10" t="n"/>
      <c r="Q102" s="10" t="inlineStr">
        <is>
          <t>⬜ À enrichir</t>
        </is>
      </c>
      <c r="R102" s="10" t="n"/>
    </row>
    <row r="103" hidden="1" ht="15.75" customHeight="1" s="24">
      <c r="A103" s="6" t="n">
        <v>230</v>
      </c>
      <c r="B103" s="6" t="inlineStr">
        <is>
          <t>Anais</t>
        </is>
      </c>
      <c r="C103" s="6" t="inlineStr">
        <is>
          <t>HOFFMANN</t>
        </is>
      </c>
      <c r="D103" s="6" t="n">
        <v>2023</v>
      </c>
      <c r="E103" s="6" t="inlineStr">
        <is>
          <t>RH</t>
        </is>
      </c>
      <c r="F103" s="6" t="inlineStr">
        <is>
          <t>Conventioné</t>
        </is>
      </c>
      <c r="G103" s="6" t="inlineStr">
        <is>
          <t>2023-05-04</t>
        </is>
      </c>
      <c r="H103" s="6" t="inlineStr">
        <is>
          <t>2023-07-05</t>
        </is>
      </c>
      <c r="I103" s="6" t="n"/>
      <c r="J103" s="10" t="n"/>
      <c r="K103" s="10" t="n"/>
      <c r="L103" s="10" t="n"/>
      <c r="M103" s="10" t="n"/>
      <c r="N103" s="10" t="n"/>
      <c r="O103" s="10" t="n"/>
      <c r="P103" s="10" t="n"/>
      <c r="Q103" s="10" t="inlineStr">
        <is>
          <t>⬜ À enrichir</t>
        </is>
      </c>
      <c r="R103" s="10" t="n"/>
    </row>
    <row r="104" hidden="1" ht="15.75" customHeight="1" s="24">
      <c r="A104" s="6" t="n">
        <v>231</v>
      </c>
      <c r="B104" s="6" t="inlineStr">
        <is>
          <t>Esquilin Balt</t>
        </is>
      </c>
      <c r="C104" s="6" t="inlineStr">
        <is>
          <t>HOUNDOFI</t>
        </is>
      </c>
      <c r="D104" s="6" t="n">
        <v>2023</v>
      </c>
      <c r="E104" s="6" t="inlineStr">
        <is>
          <t xml:space="preserve">Smart cities/ Agriculture durable </t>
        </is>
      </c>
      <c r="F104" s="6" t="inlineStr">
        <is>
          <t>Bénévole</t>
        </is>
      </c>
      <c r="G104" s="6" t="inlineStr">
        <is>
          <t>2023-10-10</t>
        </is>
      </c>
      <c r="H104" s="6" t="inlineStr">
        <is>
          <t>2024-05-03</t>
        </is>
      </c>
      <c r="I104" s="6" t="n"/>
      <c r="J104" s="10" t="n"/>
      <c r="K104" s="10" t="n"/>
      <c r="L104" s="10" t="n"/>
      <c r="M104" s="10" t="n"/>
      <c r="N104" s="10" t="n"/>
      <c r="O104" s="10" t="n"/>
      <c r="P104" s="10" t="n"/>
      <c r="Q104" s="10" t="inlineStr">
        <is>
          <t>⬜ À enrichir</t>
        </is>
      </c>
      <c r="R104" s="10" t="n"/>
    </row>
    <row r="105" hidden="1" ht="15.75" customHeight="1" s="24">
      <c r="A105" s="6" t="n">
        <v>233</v>
      </c>
      <c r="B105" s="6" t="inlineStr">
        <is>
          <t>Lejla</t>
        </is>
      </c>
      <c r="C105" s="6" t="inlineStr">
        <is>
          <t>HUSELJIC</t>
        </is>
      </c>
      <c r="D105" s="6" t="n">
        <v>2023</v>
      </c>
      <c r="E105" s="6" t="inlineStr">
        <is>
          <t xml:space="preserve">Eco conso scientifique cosmétique durable </t>
        </is>
      </c>
      <c r="F105" s="6" t="inlineStr">
        <is>
          <t>Bénévole</t>
        </is>
      </c>
      <c r="G105" s="6" t="inlineStr">
        <is>
          <t>2022-10-17</t>
        </is>
      </c>
      <c r="H105" s="6" t="inlineStr">
        <is>
          <t>2023-05-12</t>
        </is>
      </c>
      <c r="I105" s="6" t="n"/>
      <c r="J105" s="10" t="n"/>
      <c r="K105" s="10" t="n"/>
      <c r="L105" s="10" t="n"/>
      <c r="M105" s="10" t="n"/>
      <c r="N105" s="10" t="n"/>
      <c r="O105" s="10" t="n"/>
      <c r="P105" s="10" t="n"/>
      <c r="Q105" s="10" t="inlineStr">
        <is>
          <t>⬜ À enrichir</t>
        </is>
      </c>
      <c r="R105" s="10" t="n"/>
    </row>
    <row r="106" hidden="1" ht="15.75" customHeight="1" s="24">
      <c r="A106" s="6" t="n">
        <v>235</v>
      </c>
      <c r="B106" s="6" t="inlineStr">
        <is>
          <t>Wejden</t>
        </is>
      </c>
      <c r="C106" s="6" t="inlineStr">
        <is>
          <t>Harrabi</t>
        </is>
      </c>
      <c r="D106" s="6" t="n">
        <v>2023</v>
      </c>
      <c r="E106" s="6" t="inlineStr">
        <is>
          <t>SC GCC et formation</t>
        </is>
      </c>
      <c r="F106" s="6" t="inlineStr">
        <is>
          <t>Bénévole</t>
        </is>
      </c>
      <c r="G106" s="6" t="inlineStr">
        <is>
          <t>2024-01-22</t>
        </is>
      </c>
      <c r="H106" s="6" t="inlineStr">
        <is>
          <t>2024-12-24</t>
        </is>
      </c>
      <c r="I106" s="6" t="inlineStr">
        <is>
          <t>Non</t>
        </is>
      </c>
      <c r="J106" s="10" t="n"/>
      <c r="K106" s="10" t="n"/>
      <c r="L106" s="10" t="n"/>
      <c r="M106" s="10" t="n"/>
      <c r="N106" s="10" t="n"/>
      <c r="O106" s="10" t="n"/>
      <c r="P106" s="10" t="n"/>
      <c r="Q106" s="10" t="inlineStr">
        <is>
          <t>⬜ À enrichir</t>
        </is>
      </c>
      <c r="R106" s="10" t="n"/>
    </row>
    <row r="107" hidden="1" ht="15.75" customHeight="1" s="24">
      <c r="A107" s="6" t="n">
        <v>239</v>
      </c>
      <c r="B107" s="6" t="inlineStr">
        <is>
          <t>Nesrine</t>
        </is>
      </c>
      <c r="C107" s="6" t="inlineStr">
        <is>
          <t>Ishak Shaiek</t>
        </is>
      </c>
      <c r="D107" s="6" t="n">
        <v>2023</v>
      </c>
      <c r="E107" s="6" t="inlineStr">
        <is>
          <t>IT</t>
        </is>
      </c>
      <c r="F107" s="6" t="inlineStr">
        <is>
          <t>Conventioné</t>
        </is>
      </c>
      <c r="G107" s="6" t="inlineStr">
        <is>
          <t>2023-11-06</t>
        </is>
      </c>
      <c r="H107" s="6" t="inlineStr">
        <is>
          <t>2023-03-12</t>
        </is>
      </c>
      <c r="I107" s="6" t="n"/>
      <c r="J107" s="10" t="n"/>
      <c r="K107" s="10" t="n"/>
      <c r="L107" s="10" t="n"/>
      <c r="M107" s="10" t="n"/>
      <c r="N107" s="10" t="n"/>
      <c r="O107" s="10" t="n"/>
      <c r="P107" s="10" t="n"/>
      <c r="Q107" s="10" t="inlineStr">
        <is>
          <t>⬜ À enrichir</t>
        </is>
      </c>
      <c r="R107" s="10" t="n"/>
    </row>
    <row r="108" hidden="1" ht="15.75" customHeight="1" s="24">
      <c r="A108" s="6" t="n">
        <v>242</v>
      </c>
      <c r="B108" s="6" t="inlineStr">
        <is>
          <t>Emilie</t>
        </is>
      </c>
      <c r="C108" s="6" t="inlineStr">
        <is>
          <t>JACQUIN</t>
        </is>
      </c>
      <c r="D108" s="6" t="n">
        <v>2023</v>
      </c>
      <c r="E108" s="6" t="inlineStr">
        <is>
          <t>Partenariat/ Branding</t>
        </is>
      </c>
      <c r="F108" s="6" t="inlineStr">
        <is>
          <t>Conventioné</t>
        </is>
      </c>
      <c r="G108" s="6" t="inlineStr">
        <is>
          <t>2023-04-03</t>
        </is>
      </c>
      <c r="H108" s="6" t="inlineStr">
        <is>
          <t>2023-06-09</t>
        </is>
      </c>
      <c r="I108" s="6" t="n"/>
      <c r="J108" s="10" t="n"/>
      <c r="K108" s="10" t="n"/>
      <c r="L108" s="10" t="n"/>
      <c r="M108" s="10" t="n"/>
      <c r="N108" s="10" t="n"/>
      <c r="O108" s="10" t="n"/>
      <c r="P108" s="10" t="n"/>
      <c r="Q108" s="10" t="inlineStr">
        <is>
          <t>⬜ À enrichir</t>
        </is>
      </c>
      <c r="R108" s="10" t="n"/>
    </row>
    <row r="109" hidden="1" ht="15.75" customHeight="1" s="24">
      <c r="A109" s="6" t="n">
        <v>244</v>
      </c>
      <c r="B109" s="6" t="inlineStr">
        <is>
          <t>Ana</t>
        </is>
      </c>
      <c r="C109" s="6" t="inlineStr">
        <is>
          <t>JAURY</t>
        </is>
      </c>
      <c r="D109" s="6" t="n">
        <v>2023</v>
      </c>
      <c r="E109" s="6" t="inlineStr">
        <is>
          <t>RH</t>
        </is>
      </c>
      <c r="F109" s="6" t="inlineStr">
        <is>
          <t>Bénévole</t>
        </is>
      </c>
      <c r="G109" s="6" t="inlineStr">
        <is>
          <t>2023-04-12</t>
        </is>
      </c>
      <c r="H109" s="6" t="inlineStr">
        <is>
          <t>2023-09-08</t>
        </is>
      </c>
      <c r="I109" s="6" t="inlineStr">
        <is>
          <t>Alumni gratuit</t>
        </is>
      </c>
      <c r="J109" s="10" t="n"/>
      <c r="K109" s="10" t="n"/>
      <c r="L109" s="10" t="n"/>
      <c r="M109" s="10" t="n"/>
      <c r="N109" s="10" t="n"/>
      <c r="O109" s="10" t="n"/>
      <c r="P109" s="10" t="n"/>
      <c r="Q109" s="10" t="inlineStr">
        <is>
          <t>⬜ À enrichir</t>
        </is>
      </c>
      <c r="R109" s="10" t="n"/>
    </row>
    <row r="110" hidden="1" ht="15.75" customHeight="1" s="24">
      <c r="A110" s="6" t="n">
        <v>246</v>
      </c>
      <c r="B110" s="6" t="inlineStr">
        <is>
          <t>Guillaume</t>
        </is>
      </c>
      <c r="C110" s="6" t="inlineStr">
        <is>
          <t>JOURDE</t>
        </is>
      </c>
      <c r="D110" s="6" t="n">
        <v>2023</v>
      </c>
      <c r="E110" s="6" t="inlineStr">
        <is>
          <t>IT</t>
        </is>
      </c>
      <c r="F110" s="6" t="inlineStr">
        <is>
          <t>Conventioné</t>
        </is>
      </c>
      <c r="G110" s="6" t="inlineStr">
        <is>
          <t>2022-10-13</t>
        </is>
      </c>
      <c r="H110" s="6" t="inlineStr">
        <is>
          <t>2023-01-27</t>
        </is>
      </c>
      <c r="I110" s="6" t="n"/>
      <c r="J110" s="10" t="n"/>
      <c r="K110" s="10" t="n"/>
      <c r="L110" s="10" t="n"/>
      <c r="M110" s="10" t="n"/>
      <c r="N110" s="10" t="n"/>
      <c r="O110" s="10" t="n"/>
      <c r="P110" s="10" t="n"/>
      <c r="Q110" s="10" t="inlineStr">
        <is>
          <t>⬜ À enrichir</t>
        </is>
      </c>
      <c r="R110" s="10" t="n"/>
    </row>
    <row r="111" hidden="1" ht="15.75" customHeight="1" s="24">
      <c r="A111" s="6" t="n">
        <v>248</v>
      </c>
      <c r="B111" s="6" t="inlineStr">
        <is>
          <t>Yassine</t>
        </is>
      </c>
      <c r="C111" s="6" t="inlineStr">
        <is>
          <t>Jedidi</t>
        </is>
      </c>
      <c r="D111" s="6" t="n">
        <v>2023</v>
      </c>
      <c r="E111" s="6" t="inlineStr">
        <is>
          <t>RV partenariat Branding et CM</t>
        </is>
      </c>
      <c r="F111" s="6" t="inlineStr">
        <is>
          <t>Conventioné</t>
        </is>
      </c>
      <c r="G111" s="6" t="inlineStr">
        <is>
          <t>2023-01-16</t>
        </is>
      </c>
      <c r="H111" s="6" t="inlineStr">
        <is>
          <t>2023-05-17</t>
        </is>
      </c>
      <c r="I111" s="6" t="inlineStr">
        <is>
          <t>Alumni gratuit</t>
        </is>
      </c>
      <c r="J111" s="10" t="n"/>
      <c r="K111" s="10" t="n"/>
      <c r="L111" s="10" t="n"/>
      <c r="M111" s="10" t="n"/>
      <c r="N111" s="10" t="n"/>
      <c r="O111" s="10" t="n"/>
      <c r="P111" s="10" t="n"/>
      <c r="Q111" s="10" t="inlineStr">
        <is>
          <t>⬜ À enrichir</t>
        </is>
      </c>
      <c r="R111" s="10" t="n"/>
    </row>
    <row r="112" hidden="1" ht="15.75" customHeight="1" s="24">
      <c r="A112" s="6" t="n">
        <v>250</v>
      </c>
      <c r="B112" s="6" t="inlineStr">
        <is>
          <t>Ettien</t>
        </is>
      </c>
      <c r="C112" s="6" t="inlineStr">
        <is>
          <t>KACOU</t>
        </is>
      </c>
      <c r="D112" s="6" t="n">
        <v>2023</v>
      </c>
      <c r="E112" s="6" t="inlineStr">
        <is>
          <t>Juridique</t>
        </is>
      </c>
      <c r="F112" s="6" t="inlineStr">
        <is>
          <t>Bénévole</t>
        </is>
      </c>
      <c r="G112" s="6" t="inlineStr">
        <is>
          <t>2022-12-20</t>
        </is>
      </c>
      <c r="H112" s="6" t="inlineStr">
        <is>
          <t>2023-07-14</t>
        </is>
      </c>
      <c r="I112" s="6" t="n"/>
      <c r="J112" s="10" t="n"/>
      <c r="K112" s="10" t="n"/>
      <c r="L112" s="10" t="n"/>
      <c r="M112" s="10" t="n"/>
      <c r="N112" s="10" t="n"/>
      <c r="O112" s="10" t="n"/>
      <c r="P112" s="10" t="n"/>
      <c r="Q112" s="10" t="inlineStr">
        <is>
          <t>⬜ À enrichir</t>
        </is>
      </c>
      <c r="R112" s="10" t="n"/>
    </row>
    <row r="113" hidden="1" ht="15.75" customHeight="1" s="24">
      <c r="A113" s="6" t="n">
        <v>252</v>
      </c>
      <c r="B113" s="6" t="inlineStr">
        <is>
          <t>Mohamed</t>
        </is>
      </c>
      <c r="C113" s="6" t="inlineStr">
        <is>
          <t>KANN DIALLO</t>
        </is>
      </c>
      <c r="D113" s="6" t="n">
        <v>2023</v>
      </c>
      <c r="E113" s="6" t="inlineStr">
        <is>
          <t>RH</t>
        </is>
      </c>
      <c r="F113" s="6" t="inlineStr">
        <is>
          <t>Bénévole</t>
        </is>
      </c>
      <c r="G113" s="6" t="inlineStr">
        <is>
          <t>2022-09-07</t>
        </is>
      </c>
      <c r="H113" s="6" t="inlineStr">
        <is>
          <t>2023-01-28</t>
        </is>
      </c>
      <c r="I113" s="6" t="n"/>
      <c r="J113" s="10" t="n"/>
      <c r="K113" s="10" t="n"/>
      <c r="L113" s="10" t="n"/>
      <c r="M113" s="10" t="n"/>
      <c r="N113" s="10" t="n"/>
      <c r="O113" s="10" t="n"/>
      <c r="P113" s="10" t="n"/>
      <c r="Q113" s="10" t="inlineStr">
        <is>
          <t>⬜ À enrichir</t>
        </is>
      </c>
      <c r="R113" s="10" t="n"/>
    </row>
    <row r="114" hidden="1" ht="15.75" customHeight="1" s="24">
      <c r="A114" s="6" t="n">
        <v>255</v>
      </c>
      <c r="B114" s="6" t="inlineStr">
        <is>
          <t>Alyssa</t>
        </is>
      </c>
      <c r="C114" s="6" t="inlineStr">
        <is>
          <t>KHADRAOUI</t>
        </is>
      </c>
      <c r="D114" s="6" t="n">
        <v>2023</v>
      </c>
      <c r="E114" s="6" t="inlineStr">
        <is>
          <t>Statistiques /SC</t>
        </is>
      </c>
      <c r="F114" s="6" t="inlineStr">
        <is>
          <t>Bénévole</t>
        </is>
      </c>
      <c r="G114" s="6" t="inlineStr">
        <is>
          <t>2023-01-17</t>
        </is>
      </c>
      <c r="H114" s="6" t="inlineStr">
        <is>
          <t>2023-04-21</t>
        </is>
      </c>
      <c r="I114" s="6" t="n"/>
      <c r="J114" s="10" t="n"/>
      <c r="K114" s="10" t="n"/>
      <c r="L114" s="10" t="n"/>
      <c r="M114" s="10" t="n"/>
      <c r="N114" s="10" t="n"/>
      <c r="O114" s="10" t="n"/>
      <c r="P114" s="10" t="n"/>
      <c r="Q114" s="10" t="inlineStr">
        <is>
          <t>⬜ À enrichir</t>
        </is>
      </c>
      <c r="R114" s="10" t="n"/>
    </row>
    <row r="115" hidden="1" ht="15.75" customHeight="1" s="24">
      <c r="A115" s="6" t="n">
        <v>260</v>
      </c>
      <c r="B115" s="6" t="inlineStr">
        <is>
          <t>Camille</t>
        </is>
      </c>
      <c r="C115" s="6" t="inlineStr">
        <is>
          <t>KOUASSI</t>
        </is>
      </c>
      <c r="D115" s="6" t="n">
        <v>2023</v>
      </c>
      <c r="E115" s="6" t="inlineStr">
        <is>
          <t>Marketing</t>
        </is>
      </c>
      <c r="F115" s="6" t="inlineStr">
        <is>
          <t>Bénévole</t>
        </is>
      </c>
      <c r="G115" s="6" t="inlineStr">
        <is>
          <t>2023-10-17</t>
        </is>
      </c>
      <c r="H115" s="6" t="inlineStr">
        <is>
          <t>2024-02-09</t>
        </is>
      </c>
      <c r="I115" s="6" t="n"/>
      <c r="J115" s="10" t="n"/>
      <c r="K115" s="10" t="n"/>
      <c r="L115" s="10" t="n"/>
      <c r="M115" s="10" t="n"/>
      <c r="N115" s="10" t="n"/>
      <c r="O115" s="10" t="n"/>
      <c r="P115" s="10" t="n"/>
      <c r="Q115" s="10" t="inlineStr">
        <is>
          <t>⬜ À enrichir</t>
        </is>
      </c>
      <c r="R115" s="10" t="n"/>
    </row>
    <row r="116" hidden="1" ht="15.75" customHeight="1" s="24">
      <c r="A116" s="6" t="n">
        <v>262</v>
      </c>
      <c r="B116" s="6" t="inlineStr">
        <is>
          <t>Ahmed</t>
        </is>
      </c>
      <c r="C116" s="6" t="inlineStr">
        <is>
          <t>KOWSAR</t>
        </is>
      </c>
      <c r="D116" s="6" t="n">
        <v>2023</v>
      </c>
      <c r="E116" s="6" t="inlineStr">
        <is>
          <t>RH</t>
        </is>
      </c>
      <c r="F116" s="6" t="inlineStr">
        <is>
          <t>Bénévole</t>
        </is>
      </c>
      <c r="G116" s="6" t="inlineStr">
        <is>
          <t>2023-07-05</t>
        </is>
      </c>
      <c r="H116" s="6" t="inlineStr">
        <is>
          <t>2024-01-26</t>
        </is>
      </c>
      <c r="I116" s="6" t="n"/>
      <c r="J116" s="10" t="n"/>
      <c r="K116" s="10" t="n"/>
      <c r="L116" s="10" t="n"/>
      <c r="M116" s="10" t="n"/>
      <c r="N116" s="10" t="n"/>
      <c r="O116" s="10" t="n"/>
      <c r="P116" s="10" t="n"/>
      <c r="Q116" s="10" t="inlineStr">
        <is>
          <t>⬜ À enrichir</t>
        </is>
      </c>
      <c r="R116" s="10" t="n"/>
    </row>
    <row r="117" hidden="1" ht="15.75" customHeight="1" s="24">
      <c r="A117" s="6" t="n">
        <v>263</v>
      </c>
      <c r="B117" s="6" t="inlineStr">
        <is>
          <t>Alain</t>
        </is>
      </c>
      <c r="C117" s="6" t="inlineStr">
        <is>
          <t>KPOGHOMOU</t>
        </is>
      </c>
      <c r="D117" s="6" t="n">
        <v>2023</v>
      </c>
      <c r="E117" s="6" t="inlineStr">
        <is>
          <t>GCC</t>
        </is>
      </c>
      <c r="F117" s="6" t="inlineStr">
        <is>
          <t>Bénévole</t>
        </is>
      </c>
      <c r="G117" s="6" t="inlineStr">
        <is>
          <t>2022-12-06</t>
        </is>
      </c>
      <c r="H117" s="6" t="inlineStr">
        <is>
          <t>2023-06-06</t>
        </is>
      </c>
      <c r="I117" s="6" t="n"/>
      <c r="J117" s="10" t="n"/>
      <c r="K117" s="10" t="n"/>
      <c r="L117" s="10" t="n"/>
      <c r="M117" s="10" t="n"/>
      <c r="N117" s="10" t="n"/>
      <c r="O117" s="10" t="n"/>
      <c r="P117" s="10" t="n"/>
      <c r="Q117" s="10" t="inlineStr">
        <is>
          <t>⬜ À enrichir</t>
        </is>
      </c>
      <c r="R117" s="10" t="n"/>
    </row>
    <row r="118" hidden="1" ht="15.75" customHeight="1" s="24">
      <c r="A118" s="6" t="n">
        <v>267</v>
      </c>
      <c r="B118" s="6" t="inlineStr">
        <is>
          <t>Nermine</t>
        </is>
      </c>
      <c r="C118" s="6" t="inlineStr">
        <is>
          <t>Khaddouma</t>
        </is>
      </c>
      <c r="D118" s="6" t="n">
        <v>2023</v>
      </c>
      <c r="E118" s="6" t="inlineStr">
        <is>
          <t>éco gestes et CM</t>
        </is>
      </c>
      <c r="F118" s="6" t="inlineStr">
        <is>
          <t>Conventioné</t>
        </is>
      </c>
      <c r="G118" s="6" t="inlineStr">
        <is>
          <t>2023-01-24</t>
        </is>
      </c>
      <c r="H118" s="6" t="inlineStr">
        <is>
          <t>2023-07-21</t>
        </is>
      </c>
      <c r="I118" s="6" t="inlineStr">
        <is>
          <t>Non</t>
        </is>
      </c>
      <c r="J118" s="10" t="n"/>
      <c r="K118" s="10" t="n"/>
      <c r="L118" s="10" t="n"/>
      <c r="M118" s="10" t="n"/>
      <c r="N118" s="10" t="n"/>
      <c r="O118" s="10" t="n"/>
      <c r="P118" s="10" t="n"/>
      <c r="Q118" s="10" t="inlineStr">
        <is>
          <t>⬜ À enrichir</t>
        </is>
      </c>
      <c r="R118" s="10" t="n"/>
    </row>
    <row r="119" hidden="1" ht="15.75" customHeight="1" s="24">
      <c r="A119" s="6" t="n">
        <v>272</v>
      </c>
      <c r="B119" s="6" t="inlineStr">
        <is>
          <t>Lamia</t>
        </is>
      </c>
      <c r="C119" s="6" t="inlineStr">
        <is>
          <t>LAAZIRI</t>
        </is>
      </c>
      <c r="D119" s="6" t="n">
        <v>2023</v>
      </c>
      <c r="E119" s="6" t="inlineStr">
        <is>
          <t>RH</t>
        </is>
      </c>
      <c r="F119" s="6" t="inlineStr">
        <is>
          <t>Bénévole</t>
        </is>
      </c>
      <c r="G119" s="6" t="inlineStr">
        <is>
          <t>2022-09-07</t>
        </is>
      </c>
      <c r="H119" s="6" t="inlineStr">
        <is>
          <t>2023-02-10</t>
        </is>
      </c>
      <c r="I119" s="6" t="n"/>
      <c r="J119" s="10" t="n"/>
      <c r="K119" s="10" t="n"/>
      <c r="L119" s="10" t="n"/>
      <c r="M119" s="10" t="n"/>
      <c r="N119" s="10" t="n"/>
      <c r="O119" s="10" t="n"/>
      <c r="P119" s="10" t="n"/>
      <c r="Q119" s="10" t="inlineStr">
        <is>
          <t>⬜ À enrichir</t>
        </is>
      </c>
      <c r="R119" s="10" t="n"/>
    </row>
    <row r="120" hidden="1" ht="15.75" customHeight="1" s="24">
      <c r="A120" s="6" t="n">
        <v>275</v>
      </c>
      <c r="B120" s="6" t="inlineStr">
        <is>
          <t>Insaf</t>
        </is>
      </c>
      <c r="C120" s="6" t="inlineStr">
        <is>
          <t>LAISSOUK</t>
        </is>
      </c>
      <c r="D120" s="6" t="n">
        <v>2023</v>
      </c>
      <c r="E120" s="6" t="inlineStr">
        <is>
          <t>RH</t>
        </is>
      </c>
      <c r="F120" s="6" t="inlineStr">
        <is>
          <t>Bénévole</t>
        </is>
      </c>
      <c r="G120" s="6" t="inlineStr">
        <is>
          <t>2023-03-15</t>
        </is>
      </c>
      <c r="H120" s="6" t="inlineStr">
        <is>
          <t>2023-06-16</t>
        </is>
      </c>
      <c r="I120" s="6" t="n"/>
      <c r="J120" s="10" t="n"/>
      <c r="K120" s="10" t="n"/>
      <c r="L120" s="10" t="n"/>
      <c r="M120" s="10" t="n"/>
      <c r="N120" s="10" t="n"/>
      <c r="O120" s="10" t="n"/>
      <c r="P120" s="10" t="n"/>
      <c r="Q120" s="10" t="inlineStr">
        <is>
          <t>⬜ À enrichir</t>
        </is>
      </c>
      <c r="R120" s="10" t="n"/>
    </row>
    <row r="121" hidden="1" ht="15.75" customHeight="1" s="24">
      <c r="A121" s="6" t="n">
        <v>276</v>
      </c>
      <c r="B121" s="6" t="inlineStr">
        <is>
          <t>Charbel</t>
        </is>
      </c>
      <c r="C121" s="6" t="inlineStr">
        <is>
          <t>LALEYE</t>
        </is>
      </c>
      <c r="D121" s="6" t="n">
        <v>2023</v>
      </c>
      <c r="E121" s="6" t="inlineStr">
        <is>
          <t>IT</t>
        </is>
      </c>
      <c r="F121" s="6" t="inlineStr">
        <is>
          <t>Conventioné</t>
        </is>
      </c>
      <c r="G121" s="6" t="inlineStr">
        <is>
          <t>2023-05-05</t>
        </is>
      </c>
      <c r="H121" s="6" t="inlineStr">
        <is>
          <t>2023-08-04</t>
        </is>
      </c>
      <c r="I121" s="6" t="n"/>
      <c r="J121" s="10" t="n"/>
      <c r="K121" s="10" t="n"/>
      <c r="L121" s="10" t="n"/>
      <c r="M121" s="10" t="n"/>
      <c r="N121" s="10" t="n"/>
      <c r="O121" s="10" t="n"/>
      <c r="P121" s="10" t="n"/>
      <c r="Q121" s="10" t="inlineStr">
        <is>
          <t>⬜ À enrichir</t>
        </is>
      </c>
      <c r="R121" s="10" t="n"/>
    </row>
    <row r="122" hidden="1" ht="15.75" customHeight="1" s="24">
      <c r="A122" s="6" t="n">
        <v>280</v>
      </c>
      <c r="B122" s="6" t="inlineStr">
        <is>
          <t>Mohamed</t>
        </is>
      </c>
      <c r="C122" s="6" t="inlineStr">
        <is>
          <t>LAMRINI</t>
        </is>
      </c>
      <c r="D122" s="6" t="n">
        <v>2023</v>
      </c>
      <c r="E122" s="6" t="inlineStr">
        <is>
          <t>IT</t>
        </is>
      </c>
      <c r="F122" s="6" t="inlineStr">
        <is>
          <t>Conventioné</t>
        </is>
      </c>
      <c r="G122" s="6" t="inlineStr">
        <is>
          <t>2023-06-08</t>
        </is>
      </c>
      <c r="H122" s="6" t="inlineStr">
        <is>
          <t>2023-09-08</t>
        </is>
      </c>
      <c r="I122" s="6" t="n"/>
      <c r="J122" s="10" t="n"/>
      <c r="K122" s="10" t="n"/>
      <c r="L122" s="10" t="n"/>
      <c r="M122" s="10" t="n"/>
      <c r="N122" s="10" t="n"/>
      <c r="O122" s="10" t="n"/>
      <c r="P122" s="10" t="n"/>
      <c r="Q122" s="10" t="inlineStr">
        <is>
          <t>⬜ À enrichir</t>
        </is>
      </c>
      <c r="R122" s="10" t="n"/>
    </row>
    <row r="123" hidden="1" ht="15.75" customHeight="1" s="24">
      <c r="A123" s="6" t="n">
        <v>282</v>
      </c>
      <c r="B123" s="6" t="inlineStr">
        <is>
          <t>Paul</t>
        </is>
      </c>
      <c r="C123" s="6" t="inlineStr">
        <is>
          <t>LAUTIER</t>
        </is>
      </c>
      <c r="D123" s="6" t="n">
        <v>2023</v>
      </c>
      <c r="E123" s="6" t="inlineStr">
        <is>
          <t>IT</t>
        </is>
      </c>
      <c r="F123" s="6" t="inlineStr">
        <is>
          <t>Conventioné</t>
        </is>
      </c>
      <c r="G123" s="6" t="inlineStr">
        <is>
          <t>2023-03-30</t>
        </is>
      </c>
      <c r="H123" s="6" t="inlineStr">
        <is>
          <t>2023-08-25</t>
        </is>
      </c>
      <c r="I123" s="6" t="n"/>
      <c r="J123" s="10" t="n"/>
      <c r="K123" s="10" t="n"/>
      <c r="L123" s="10" t="n"/>
      <c r="M123" s="10" t="n"/>
      <c r="N123" s="10" t="n"/>
      <c r="O123" s="10" t="n"/>
      <c r="P123" s="10" t="n"/>
      <c r="Q123" s="10" t="inlineStr">
        <is>
          <t>⬜ À enrichir</t>
        </is>
      </c>
      <c r="R123" s="10" t="n"/>
    </row>
    <row r="124" hidden="1" ht="15.75" customHeight="1" s="24">
      <c r="A124" s="6" t="n">
        <v>283</v>
      </c>
      <c r="B124" s="6" t="inlineStr">
        <is>
          <t>Justine</t>
        </is>
      </c>
      <c r="C124" s="6" t="inlineStr">
        <is>
          <t>LE DREF</t>
        </is>
      </c>
      <c r="D124" s="6" t="n">
        <v>2023</v>
      </c>
      <c r="E124" s="6" t="inlineStr">
        <is>
          <t>IT</t>
        </is>
      </c>
      <c r="F124" s="6" t="inlineStr">
        <is>
          <t>Conventioné</t>
        </is>
      </c>
      <c r="G124" s="6" t="inlineStr">
        <is>
          <t>2023-03-30</t>
        </is>
      </c>
      <c r="H124" s="6" t="inlineStr">
        <is>
          <t>2023-06-23</t>
        </is>
      </c>
      <c r="I124" s="6" t="n"/>
      <c r="J124" s="10" t="n"/>
      <c r="K124" s="10" t="n"/>
      <c r="L124" s="10" t="n"/>
      <c r="M124" s="10" t="n"/>
      <c r="N124" s="10" t="n"/>
      <c r="O124" s="10" t="n"/>
      <c r="P124" s="10" t="n"/>
      <c r="Q124" s="10" t="inlineStr">
        <is>
          <t>⬜ À enrichir</t>
        </is>
      </c>
      <c r="R124" s="10" t="n"/>
    </row>
    <row r="125" hidden="1" ht="15.75" customHeight="1" s="24">
      <c r="A125" s="6" t="n">
        <v>284</v>
      </c>
      <c r="B125" s="6" t="inlineStr">
        <is>
          <t>Emma</t>
        </is>
      </c>
      <c r="C125" s="6" t="inlineStr">
        <is>
          <t>LE FRANC</t>
        </is>
      </c>
      <c r="D125" s="6" t="n">
        <v>2023</v>
      </c>
      <c r="E125" s="6" t="inlineStr">
        <is>
          <t>Statistiques/ SC</t>
        </is>
      </c>
      <c r="F125" s="6" t="inlineStr">
        <is>
          <t>Conventioné</t>
        </is>
      </c>
      <c r="G125" s="6" t="inlineStr">
        <is>
          <t>2023-01-05</t>
        </is>
      </c>
      <c r="H125" s="6" t="inlineStr">
        <is>
          <t>2023-07-31</t>
        </is>
      </c>
      <c r="I125" s="6" t="n"/>
      <c r="J125" s="10" t="n"/>
      <c r="K125" s="10" t="n"/>
      <c r="L125" s="10" t="n"/>
      <c r="M125" s="10" t="n"/>
      <c r="N125" s="10" t="n"/>
      <c r="O125" s="10" t="n"/>
      <c r="P125" s="10" t="n"/>
      <c r="Q125" s="10" t="inlineStr">
        <is>
          <t>⬜ À enrichir</t>
        </is>
      </c>
      <c r="R125" s="10" t="n"/>
    </row>
    <row r="126" hidden="1" ht="15.75" customHeight="1" s="24">
      <c r="A126" s="6" t="n">
        <v>285</v>
      </c>
      <c r="B126" s="6" t="inlineStr">
        <is>
          <t>Jennifer</t>
        </is>
      </c>
      <c r="C126" s="6" t="inlineStr">
        <is>
          <t>LE GALL</t>
        </is>
      </c>
      <c r="D126" s="6" t="n">
        <v>2023</v>
      </c>
      <c r="E126" s="6" t="inlineStr">
        <is>
          <t>RH</t>
        </is>
      </c>
      <c r="F126" s="6" t="inlineStr">
        <is>
          <t>Bénévole</t>
        </is>
      </c>
      <c r="G126" s="6" t="inlineStr">
        <is>
          <t>2022-05-11</t>
        </is>
      </c>
      <c r="H126" s="6" t="inlineStr">
        <is>
          <t>2022-09-09</t>
        </is>
      </c>
      <c r="I126" s="6" t="n"/>
      <c r="J126" s="10" t="n"/>
      <c r="K126" s="10" t="n"/>
      <c r="L126" s="10" t="n"/>
      <c r="M126" s="10" t="n"/>
      <c r="N126" s="10" t="n"/>
      <c r="O126" s="10" t="n"/>
      <c r="P126" s="10" t="n"/>
      <c r="Q126" s="10" t="inlineStr">
        <is>
          <t>⬜ À enrichir</t>
        </is>
      </c>
      <c r="R126" s="10" t="n"/>
    </row>
    <row r="127" hidden="1" ht="15.75" customHeight="1" s="24">
      <c r="A127" s="6" t="n">
        <v>289</v>
      </c>
      <c r="B127" s="6" t="inlineStr">
        <is>
          <t>Eleanor</t>
        </is>
      </c>
      <c r="C127" s="6" t="inlineStr">
        <is>
          <t>LESAGE</t>
        </is>
      </c>
      <c r="D127" s="6" t="n">
        <v>2023</v>
      </c>
      <c r="E127" s="6" t="inlineStr">
        <is>
          <t>RH</t>
        </is>
      </c>
      <c r="F127" s="6" t="inlineStr">
        <is>
          <t>Conventioné</t>
        </is>
      </c>
      <c r="G127" s="6" t="inlineStr">
        <is>
          <t>2023-03-22</t>
        </is>
      </c>
      <c r="H127" s="6" t="inlineStr">
        <is>
          <t>2023-06-30</t>
        </is>
      </c>
      <c r="I127" s="6" t="n"/>
      <c r="J127" s="10" t="n"/>
      <c r="K127" s="10" t="n"/>
      <c r="L127" s="10" t="n"/>
      <c r="M127" s="10" t="n"/>
      <c r="N127" s="10" t="n"/>
      <c r="O127" s="10" t="n"/>
      <c r="P127" s="10" t="n"/>
      <c r="Q127" s="10" t="inlineStr">
        <is>
          <t>⬜ À enrichir</t>
        </is>
      </c>
      <c r="R127" s="10" t="n"/>
    </row>
    <row r="128" hidden="1" ht="15.75" customHeight="1" s="24">
      <c r="A128" s="6" t="n">
        <v>291</v>
      </c>
      <c r="B128" s="6" t="inlineStr">
        <is>
          <t>Martin</t>
        </is>
      </c>
      <c r="C128" s="6" t="inlineStr">
        <is>
          <t>LIGER</t>
        </is>
      </c>
      <c r="D128" s="6" t="n">
        <v>2023</v>
      </c>
      <c r="E128" s="6" t="inlineStr">
        <is>
          <t>CM</t>
        </is>
      </c>
      <c r="F128" s="6" t="inlineStr">
        <is>
          <t>Conventioné</t>
        </is>
      </c>
      <c r="G128" s="6" t="inlineStr">
        <is>
          <t>2023-02-06</t>
        </is>
      </c>
      <c r="H128" s="6" t="inlineStr">
        <is>
          <t>2023-08-04</t>
        </is>
      </c>
      <c r="I128" s="6" t="n"/>
      <c r="J128" s="10" t="n"/>
      <c r="K128" s="10" t="n"/>
      <c r="L128" s="10" t="n"/>
      <c r="M128" s="10" t="n"/>
      <c r="N128" s="10" t="n"/>
      <c r="O128" s="10" t="n"/>
      <c r="P128" s="10" t="n"/>
      <c r="Q128" s="10" t="inlineStr">
        <is>
          <t>⬜ À enrichir</t>
        </is>
      </c>
      <c r="R128" s="10" t="n"/>
    </row>
    <row r="129" hidden="1" ht="15.75" customHeight="1" s="24">
      <c r="A129" s="6" t="n">
        <v>292</v>
      </c>
      <c r="B129" s="6" t="inlineStr">
        <is>
          <t>Ludivine</t>
        </is>
      </c>
      <c r="C129" s="6" t="inlineStr">
        <is>
          <t>LINGUANOTTO</t>
        </is>
      </c>
      <c r="D129" s="6" t="n">
        <v>2023</v>
      </c>
      <c r="E129" s="6" t="inlineStr">
        <is>
          <t>PAC / Partenariat</t>
        </is>
      </c>
      <c r="F129" s="6" t="inlineStr">
        <is>
          <t>Bénévole</t>
        </is>
      </c>
      <c r="G129" s="6" t="inlineStr">
        <is>
          <t>2023-12-11</t>
        </is>
      </c>
      <c r="H129" s="6" t="inlineStr">
        <is>
          <t>2024-03-15</t>
        </is>
      </c>
      <c r="I129" s="6" t="inlineStr">
        <is>
          <t>Alumni gratuit</t>
        </is>
      </c>
      <c r="J129" s="10" t="n"/>
      <c r="K129" s="10" t="n"/>
      <c r="L129" s="10" t="n"/>
      <c r="M129" s="10" t="n"/>
      <c r="N129" s="10" t="n"/>
      <c r="O129" s="10" t="n"/>
      <c r="P129" s="10" t="n"/>
      <c r="Q129" s="10" t="inlineStr">
        <is>
          <t>⬜ À enrichir</t>
        </is>
      </c>
      <c r="R129" s="10" t="n"/>
    </row>
    <row r="130" hidden="1" ht="15.75" customHeight="1" s="24">
      <c r="A130" s="6" t="n">
        <v>293</v>
      </c>
      <c r="B130" s="6" t="inlineStr">
        <is>
          <t>Cosmin</t>
        </is>
      </c>
      <c r="C130" s="6" t="inlineStr">
        <is>
          <t>LITEANU</t>
        </is>
      </c>
      <c r="D130" s="6" t="n">
        <v>2023</v>
      </c>
      <c r="E130" s="6" t="inlineStr">
        <is>
          <t>IT</t>
        </is>
      </c>
      <c r="F130" s="6" t="inlineStr">
        <is>
          <t>Bénévole</t>
        </is>
      </c>
      <c r="G130" s="6" t="inlineStr">
        <is>
          <t>2023-03-30</t>
        </is>
      </c>
      <c r="H130" s="6" t="inlineStr">
        <is>
          <t>2023-09-29</t>
        </is>
      </c>
      <c r="I130" s="6" t="n"/>
      <c r="J130" s="10" t="n"/>
      <c r="K130" s="10" t="n"/>
      <c r="L130" s="10" t="n"/>
      <c r="M130" s="10" t="n"/>
      <c r="N130" s="10" t="n"/>
      <c r="O130" s="10" t="n"/>
      <c r="P130" s="10" t="n"/>
      <c r="Q130" s="10" t="inlineStr">
        <is>
          <t>⬜ À enrichir</t>
        </is>
      </c>
      <c r="R130" s="10" t="n"/>
    </row>
    <row r="131" hidden="1" ht="15.75" customHeight="1" s="24">
      <c r="A131" s="6" t="n">
        <v>295</v>
      </c>
      <c r="B131" s="6" t="inlineStr">
        <is>
          <t>Ameur</t>
        </is>
      </c>
      <c r="C131" s="6" t="inlineStr">
        <is>
          <t>LTAIEF</t>
        </is>
      </c>
      <c r="D131" s="6" t="n">
        <v>2023</v>
      </c>
      <c r="E131" s="6" t="inlineStr">
        <is>
          <t>Statistiques / SC</t>
        </is>
      </c>
      <c r="F131" s="6" t="inlineStr">
        <is>
          <t>Bénévole</t>
        </is>
      </c>
      <c r="G131" s="6" t="inlineStr">
        <is>
          <t>2022-12-12</t>
        </is>
      </c>
      <c r="H131" s="6" t="inlineStr">
        <is>
          <t>2023-05-31</t>
        </is>
      </c>
      <c r="I131" s="6" t="n"/>
      <c r="J131" s="10" t="n"/>
      <c r="K131" s="10" t="n"/>
      <c r="L131" s="10" t="n"/>
      <c r="M131" s="10" t="n"/>
      <c r="N131" s="10" t="n"/>
      <c r="O131" s="10" t="n"/>
      <c r="P131" s="10" t="n"/>
      <c r="Q131" s="10" t="inlineStr">
        <is>
          <t>⬜ À enrichir</t>
        </is>
      </c>
      <c r="R131" s="10" t="n"/>
    </row>
    <row r="132" hidden="1" ht="15.75" customHeight="1" s="24">
      <c r="A132" s="6" t="n">
        <v>296</v>
      </c>
      <c r="B132" s="6" t="inlineStr">
        <is>
          <t>Eva</t>
        </is>
      </c>
      <c r="C132" s="6" t="inlineStr">
        <is>
          <t>LUCE-RENO</t>
        </is>
      </c>
      <c r="D132" s="6" t="n">
        <v>2023</v>
      </c>
      <c r="E132" s="6" t="inlineStr">
        <is>
          <t>Juridique</t>
        </is>
      </c>
      <c r="F132" s="6" t="inlineStr">
        <is>
          <t>Bénévole</t>
        </is>
      </c>
      <c r="G132" s="6" t="inlineStr">
        <is>
          <t>2022-12-12</t>
        </is>
      </c>
      <c r="H132" s="6" t="inlineStr">
        <is>
          <t>2023-06-30</t>
        </is>
      </c>
      <c r="I132" s="6" t="n"/>
      <c r="J132" s="10" t="n"/>
      <c r="K132" s="10" t="n"/>
      <c r="L132" s="10" t="n"/>
      <c r="M132" s="10" t="n"/>
      <c r="N132" s="10" t="n"/>
      <c r="O132" s="10" t="n"/>
      <c r="P132" s="10" t="n"/>
      <c r="Q132" s="10" t="inlineStr">
        <is>
          <t>⬜ À enrichir</t>
        </is>
      </c>
      <c r="R132" s="10" t="n"/>
    </row>
    <row r="133" hidden="1" ht="15.75" customHeight="1" s="24">
      <c r="A133" s="6" t="n">
        <v>297</v>
      </c>
      <c r="B133" s="6" t="inlineStr">
        <is>
          <t>Orane</t>
        </is>
      </c>
      <c r="C133" s="6" t="inlineStr">
        <is>
          <t>LUGUET</t>
        </is>
      </c>
      <c r="D133" s="6" t="n">
        <v>2023</v>
      </c>
      <c r="E133" s="6" t="inlineStr">
        <is>
          <t>Coach</t>
        </is>
      </c>
      <c r="F133" s="6" t="inlineStr">
        <is>
          <t>Bénévole</t>
        </is>
      </c>
      <c r="G133" s="6" t="inlineStr">
        <is>
          <t>2023-02-08</t>
        </is>
      </c>
      <c r="H133" s="6" t="inlineStr">
        <is>
          <t>2023-08-04</t>
        </is>
      </c>
      <c r="I133" s="6" t="n"/>
      <c r="J133" s="10" t="n"/>
      <c r="K133" s="10" t="n"/>
      <c r="L133" s="10" t="n"/>
      <c r="M133" s="10" t="n"/>
      <c r="N133" s="10" t="n"/>
      <c r="O133" s="10" t="n"/>
      <c r="P133" s="10" t="n"/>
      <c r="Q133" s="10" t="inlineStr">
        <is>
          <t>⬜ À enrichir</t>
        </is>
      </c>
      <c r="R133" s="10" t="n"/>
    </row>
    <row r="134" hidden="1" ht="15.75" customHeight="1" s="24">
      <c r="A134" s="6" t="n">
        <v>298</v>
      </c>
      <c r="B134" s="6" t="inlineStr">
        <is>
          <t>Nejiba</t>
        </is>
      </c>
      <c r="C134" s="6" t="inlineStr">
        <is>
          <t>Lahdhiri</t>
        </is>
      </c>
      <c r="D134" s="6" t="n">
        <v>2023</v>
      </c>
      <c r="E134" s="6" t="inlineStr">
        <is>
          <t xml:space="preserve">eco conso mode durablle </t>
        </is>
      </c>
      <c r="F134" s="6" t="inlineStr">
        <is>
          <t>Bénévole</t>
        </is>
      </c>
      <c r="G134" s="6" t="inlineStr">
        <is>
          <t>2023-08-21</t>
        </is>
      </c>
      <c r="H134" s="6" t="inlineStr">
        <is>
          <t>2023-11-24</t>
        </is>
      </c>
      <c r="I134" s="6" t="n"/>
      <c r="J134" s="10" t="n"/>
      <c r="K134" s="10" t="n"/>
      <c r="L134" s="10" t="n"/>
      <c r="M134" s="10" t="n"/>
      <c r="N134" s="10" t="n"/>
      <c r="O134" s="10" t="n"/>
      <c r="P134" s="10" t="n"/>
      <c r="Q134" s="10" t="inlineStr">
        <is>
          <t>⬜ À enrichir</t>
        </is>
      </c>
      <c r="R134" s="10" t="n"/>
    </row>
    <row r="135" hidden="1" ht="15.75" customHeight="1" s="24">
      <c r="A135" s="6" t="n">
        <v>305</v>
      </c>
      <c r="B135" s="6" t="inlineStr">
        <is>
          <t>Dahir</t>
        </is>
      </c>
      <c r="C135" s="6" t="inlineStr">
        <is>
          <t>M HUSSEIN SAMATAR</t>
        </is>
      </c>
      <c r="D135" s="6" t="n">
        <v>2023</v>
      </c>
      <c r="E135" s="6" t="inlineStr">
        <is>
          <t xml:space="preserve">Budget / osez entrepreunariat </t>
        </is>
      </c>
      <c r="F135" s="6" t="inlineStr">
        <is>
          <t>Bénévole</t>
        </is>
      </c>
      <c r="G135" s="6" t="inlineStr">
        <is>
          <t>2022-08-08</t>
        </is>
      </c>
      <c r="H135" s="6" t="inlineStr">
        <is>
          <t>2023-03-03</t>
        </is>
      </c>
      <c r="I135" s="6" t="n"/>
      <c r="J135" s="10" t="n"/>
      <c r="K135" s="10" t="n"/>
      <c r="L135" s="10" t="n"/>
      <c r="M135" s="10" t="n"/>
      <c r="N135" s="10" t="n"/>
      <c r="O135" s="10" t="n"/>
      <c r="P135" s="10" t="n"/>
      <c r="Q135" s="10" t="inlineStr">
        <is>
          <t>⬜ À enrichir</t>
        </is>
      </c>
      <c r="R135" s="10" t="n"/>
    </row>
    <row r="136" hidden="1" ht="15.75" customHeight="1" s="24">
      <c r="A136" s="6" t="n">
        <v>306</v>
      </c>
      <c r="B136" s="6" t="inlineStr">
        <is>
          <t>SOPHIE</t>
        </is>
      </c>
      <c r="C136" s="6" t="inlineStr">
        <is>
          <t>MAADOUNE</t>
        </is>
      </c>
      <c r="D136" s="6" t="n">
        <v>2023</v>
      </c>
      <c r="E136" s="6" t="inlineStr">
        <is>
          <t>Coach</t>
        </is>
      </c>
      <c r="F136" s="6" t="inlineStr">
        <is>
          <t>Bénévole</t>
        </is>
      </c>
      <c r="G136" s="6" t="inlineStr">
        <is>
          <t>2023-08-09</t>
        </is>
      </c>
      <c r="H136" s="6" t="inlineStr">
        <is>
          <t>2023-11-09</t>
        </is>
      </c>
      <c r="I136" s="6" t="inlineStr">
        <is>
          <t>Non</t>
        </is>
      </c>
      <c r="J136" s="10" t="n"/>
      <c r="K136" s="10" t="n"/>
      <c r="L136" s="10" t="n"/>
      <c r="M136" s="10" t="n"/>
      <c r="N136" s="10" t="n"/>
      <c r="O136" s="10" t="n"/>
      <c r="P136" s="10" t="n"/>
      <c r="Q136" s="10" t="inlineStr">
        <is>
          <t>⬜ À enrichir</t>
        </is>
      </c>
      <c r="R136" s="10" t="n"/>
    </row>
    <row r="137" hidden="1" ht="15.75" customHeight="1" s="24">
      <c r="A137" s="6" t="n">
        <v>316</v>
      </c>
      <c r="B137" s="6" t="inlineStr">
        <is>
          <t>Marianne</t>
        </is>
      </c>
      <c r="C137" s="6" t="inlineStr">
        <is>
          <t>MARTINS</t>
        </is>
      </c>
      <c r="D137" s="6" t="n">
        <v>2023</v>
      </c>
      <c r="E137" s="6" t="inlineStr">
        <is>
          <t>RH</t>
        </is>
      </c>
      <c r="F137" s="6" t="inlineStr">
        <is>
          <t>Conventioné</t>
        </is>
      </c>
      <c r="G137" s="6" t="inlineStr">
        <is>
          <t>2022-11-30</t>
        </is>
      </c>
      <c r="H137" s="6" t="inlineStr">
        <is>
          <t>2023-03-17</t>
        </is>
      </c>
      <c r="I137" s="6" t="n"/>
      <c r="J137" s="10" t="n"/>
      <c r="K137" s="10" t="n"/>
      <c r="L137" s="10" t="n"/>
      <c r="M137" s="10" t="n"/>
      <c r="N137" s="10" t="n"/>
      <c r="O137" s="10" t="n"/>
      <c r="P137" s="10" t="n"/>
      <c r="Q137" s="10" t="inlineStr">
        <is>
          <t>⬜ À enrichir</t>
        </is>
      </c>
      <c r="R137" s="10" t="n"/>
    </row>
    <row r="138" hidden="1" ht="15.75" customHeight="1" s="24">
      <c r="A138" s="6" t="n">
        <v>319</v>
      </c>
      <c r="B138" s="6" t="inlineStr">
        <is>
          <t>Nicolas</t>
        </is>
      </c>
      <c r="C138" s="6" t="inlineStr">
        <is>
          <t>MATTHEY</t>
        </is>
      </c>
      <c r="D138" s="6" t="n">
        <v>2023</v>
      </c>
      <c r="E138" s="6" t="inlineStr">
        <is>
          <t>RH</t>
        </is>
      </c>
      <c r="F138" s="6" t="inlineStr">
        <is>
          <t>Bénévole</t>
        </is>
      </c>
      <c r="G138" s="6" t="inlineStr">
        <is>
          <t>2023-03-01</t>
        </is>
      </c>
      <c r="H138" s="6" t="inlineStr">
        <is>
          <t>2023-09-01</t>
        </is>
      </c>
      <c r="I138" s="6" t="n"/>
      <c r="J138" s="10" t="n"/>
      <c r="K138" s="10" t="n"/>
      <c r="L138" s="10" t="n"/>
      <c r="M138" s="10" t="n"/>
      <c r="N138" s="10" t="n"/>
      <c r="O138" s="10" t="n"/>
      <c r="P138" s="10" t="n"/>
      <c r="Q138" s="10" t="inlineStr">
        <is>
          <t>⬜ À enrichir</t>
        </is>
      </c>
      <c r="R138" s="10" t="n"/>
    </row>
    <row r="139" hidden="1" ht="15.75" customHeight="1" s="24">
      <c r="A139" s="6" t="n">
        <v>324</v>
      </c>
      <c r="B139" s="6" t="inlineStr">
        <is>
          <t>Johan</t>
        </is>
      </c>
      <c r="C139" s="6" t="inlineStr">
        <is>
          <t>MEDOC</t>
        </is>
      </c>
      <c r="D139" s="6" t="n">
        <v>2023</v>
      </c>
      <c r="E139" s="6" t="inlineStr">
        <is>
          <t>CM</t>
        </is>
      </c>
      <c r="F139" s="6" t="inlineStr">
        <is>
          <t>Bénévole</t>
        </is>
      </c>
      <c r="G139" s="6" t="inlineStr">
        <is>
          <t>2022-09-28</t>
        </is>
      </c>
      <c r="H139" s="6" t="inlineStr">
        <is>
          <t>2023-03-29</t>
        </is>
      </c>
      <c r="I139" s="6" t="n"/>
      <c r="J139" s="10" t="n"/>
      <c r="K139" s="10" t="n"/>
      <c r="L139" s="10" t="n"/>
      <c r="M139" s="10" t="n"/>
      <c r="N139" s="10" t="n"/>
      <c r="O139" s="10" t="n"/>
      <c r="P139" s="10" t="n"/>
      <c r="Q139" s="10" t="inlineStr">
        <is>
          <t>⬜ À enrichir</t>
        </is>
      </c>
      <c r="R139" s="10" t="n"/>
    </row>
    <row r="140" hidden="1" ht="15.75" customHeight="1" s="24">
      <c r="A140" s="6" t="n">
        <v>327</v>
      </c>
      <c r="B140" s="6" t="inlineStr">
        <is>
          <t>Cindy</t>
        </is>
      </c>
      <c r="C140" s="6" t="inlineStr">
        <is>
          <t>MEKIL</t>
        </is>
      </c>
      <c r="D140" s="6" t="n">
        <v>2023</v>
      </c>
      <c r="E140" s="6" t="inlineStr">
        <is>
          <t>Coach</t>
        </is>
      </c>
      <c r="F140" s="6" t="inlineStr">
        <is>
          <t>Bénévole</t>
        </is>
      </c>
      <c r="G140" s="6" t="inlineStr">
        <is>
          <t>2023-03-08</t>
        </is>
      </c>
      <c r="H140" s="6" t="inlineStr">
        <is>
          <t>2023-09-08</t>
        </is>
      </c>
      <c r="I140" s="6" t="n"/>
      <c r="J140" s="10" t="n"/>
      <c r="K140" s="10" t="n"/>
      <c r="L140" s="10" t="n"/>
      <c r="M140" s="10" t="n"/>
      <c r="N140" s="10" t="n"/>
      <c r="O140" s="10" t="n"/>
      <c r="P140" s="10" t="n"/>
      <c r="Q140" s="10" t="inlineStr">
        <is>
          <t>⬜ À enrichir</t>
        </is>
      </c>
      <c r="R140" s="10" t="n"/>
    </row>
    <row r="141" hidden="1" ht="15.75" customHeight="1" s="24">
      <c r="A141" s="6" t="n">
        <v>331</v>
      </c>
      <c r="B141" s="6" t="inlineStr">
        <is>
          <t>Arthur Fabrice</t>
        </is>
      </c>
      <c r="C141" s="6" t="inlineStr">
        <is>
          <t>MENGONG</t>
        </is>
      </c>
      <c r="D141" s="6" t="n">
        <v>2023</v>
      </c>
      <c r="E141" s="6" t="inlineStr">
        <is>
          <t>RH</t>
        </is>
      </c>
      <c r="F141" s="6" t="inlineStr">
        <is>
          <t>Bénévole</t>
        </is>
      </c>
      <c r="G141" s="6" t="inlineStr">
        <is>
          <t>2022-09-07</t>
        </is>
      </c>
      <c r="H141" s="6" t="inlineStr">
        <is>
          <t>2023-03-31</t>
        </is>
      </c>
      <c r="I141" s="6" t="n"/>
      <c r="J141" s="10" t="n"/>
      <c r="K141" s="10" t="n"/>
      <c r="L141" s="10" t="n"/>
      <c r="M141" s="10" t="n"/>
      <c r="N141" s="10" t="n"/>
      <c r="O141" s="10" t="n"/>
      <c r="P141" s="10" t="n"/>
      <c r="Q141" s="10" t="inlineStr">
        <is>
          <t>⬜ À enrichir</t>
        </is>
      </c>
      <c r="R141" s="10" t="n"/>
    </row>
    <row r="142" hidden="1" ht="15.75" customHeight="1" s="24">
      <c r="A142" s="6" t="n">
        <v>333</v>
      </c>
      <c r="B142" s="6" t="inlineStr">
        <is>
          <t>Victor</t>
        </is>
      </c>
      <c r="C142" s="6" t="inlineStr">
        <is>
          <t>MERIC</t>
        </is>
      </c>
      <c r="D142" s="6" t="n">
        <v>2023</v>
      </c>
      <c r="E142" s="6" t="inlineStr">
        <is>
          <t>RH</t>
        </is>
      </c>
      <c r="F142" s="6" t="inlineStr">
        <is>
          <t>Bénévole</t>
        </is>
      </c>
      <c r="G142" s="6" t="inlineStr">
        <is>
          <t>2023-02-08</t>
        </is>
      </c>
      <c r="H142" s="6" t="inlineStr">
        <is>
          <t>2023-08-04</t>
        </is>
      </c>
      <c r="I142" s="6" t="n"/>
      <c r="J142" s="10" t="n"/>
      <c r="K142" s="10" t="n"/>
      <c r="L142" s="10" t="n"/>
      <c r="M142" s="10" t="n"/>
      <c r="N142" s="10" t="n"/>
      <c r="O142" s="10" t="n"/>
      <c r="P142" s="10" t="n"/>
      <c r="Q142" s="10" t="inlineStr">
        <is>
          <t>⬜ À enrichir</t>
        </is>
      </c>
      <c r="R142" s="10" t="n"/>
    </row>
    <row r="143" hidden="1" ht="15.75" customHeight="1" s="24">
      <c r="A143" s="6" t="n">
        <v>334</v>
      </c>
      <c r="B143" s="6" t="inlineStr">
        <is>
          <t>Anaïs</t>
        </is>
      </c>
      <c r="C143" s="6" t="inlineStr">
        <is>
          <t>MERLIER</t>
        </is>
      </c>
      <c r="D143" s="6" t="n">
        <v>2023</v>
      </c>
      <c r="E143" s="6" t="inlineStr">
        <is>
          <t>Design</t>
        </is>
      </c>
      <c r="F143" s="6" t="inlineStr">
        <is>
          <t>Conventioné</t>
        </is>
      </c>
      <c r="G143" s="6" t="inlineStr">
        <is>
          <t>2023-03-13</t>
        </is>
      </c>
      <c r="H143" s="6" t="inlineStr">
        <is>
          <t>2023-06-30</t>
        </is>
      </c>
      <c r="I143" s="6" t="n"/>
      <c r="J143" s="10" t="n"/>
      <c r="K143" s="10" t="n"/>
      <c r="L143" s="10" t="n"/>
      <c r="M143" s="10" t="n"/>
      <c r="N143" s="10" t="n"/>
      <c r="O143" s="10" t="n"/>
      <c r="P143" s="10" t="n"/>
      <c r="Q143" s="10" t="inlineStr">
        <is>
          <t>⬜ À enrichir</t>
        </is>
      </c>
      <c r="R143" s="10" t="n"/>
    </row>
    <row r="144" hidden="1" ht="15.75" customHeight="1" s="24">
      <c r="A144" s="6" t="n">
        <v>337</v>
      </c>
      <c r="B144" s="6" t="inlineStr">
        <is>
          <t>Lucie</t>
        </is>
      </c>
      <c r="C144" s="6" t="inlineStr">
        <is>
          <t>METEYER</t>
        </is>
      </c>
      <c r="D144" s="6" t="n">
        <v>2023</v>
      </c>
      <c r="E144" s="6" t="inlineStr">
        <is>
          <t>IT</t>
        </is>
      </c>
      <c r="F144" s="6" t="inlineStr">
        <is>
          <t>Conventioné</t>
        </is>
      </c>
      <c r="G144" s="6" t="inlineStr">
        <is>
          <t>2023-03-09</t>
        </is>
      </c>
      <c r="H144" s="6" t="inlineStr">
        <is>
          <t>2023-06-02</t>
        </is>
      </c>
      <c r="I144" s="6" t="n"/>
      <c r="J144" s="10" t="n"/>
      <c r="K144" s="10" t="n"/>
      <c r="L144" s="10" t="n"/>
      <c r="M144" s="10" t="n"/>
      <c r="N144" s="10" t="n"/>
      <c r="O144" s="10" t="n"/>
      <c r="P144" s="10" t="n"/>
      <c r="Q144" s="10" t="inlineStr">
        <is>
          <t>⬜ À enrichir</t>
        </is>
      </c>
      <c r="R144" s="10" t="n"/>
    </row>
    <row r="145" hidden="1" ht="15.75" customHeight="1" s="24">
      <c r="A145" s="6" t="n">
        <v>339</v>
      </c>
      <c r="B145" s="6" t="inlineStr">
        <is>
          <t>François</t>
        </is>
      </c>
      <c r="C145" s="6" t="inlineStr">
        <is>
          <t>MICHAUT</t>
        </is>
      </c>
      <c r="D145" s="6" t="n">
        <v>2023</v>
      </c>
      <c r="E145" s="6" t="inlineStr">
        <is>
          <t>IT</t>
        </is>
      </c>
      <c r="F145" s="6" t="inlineStr">
        <is>
          <t>Bénévole</t>
        </is>
      </c>
      <c r="G145" s="6" t="inlineStr">
        <is>
          <t>2023-01-26</t>
        </is>
      </c>
      <c r="H145" s="6" t="inlineStr">
        <is>
          <t>2023-04-28</t>
        </is>
      </c>
      <c r="I145" s="6" t="n"/>
      <c r="J145" s="10" t="n"/>
      <c r="K145" s="10" t="n"/>
      <c r="L145" s="10" t="n"/>
      <c r="M145" s="10" t="n"/>
      <c r="N145" s="10" t="n"/>
      <c r="O145" s="10" t="n"/>
      <c r="P145" s="10" t="n"/>
      <c r="Q145" s="10" t="inlineStr">
        <is>
          <t>⬜ À enrichir</t>
        </is>
      </c>
      <c r="R145" s="10" t="n"/>
    </row>
    <row r="146" hidden="1" ht="15.75" customHeight="1" s="24">
      <c r="A146" s="6" t="n">
        <v>341</v>
      </c>
      <c r="B146" s="6" t="inlineStr">
        <is>
          <t>Karelle</t>
        </is>
      </c>
      <c r="C146" s="6" t="inlineStr">
        <is>
          <t>MINTCHUENG</t>
        </is>
      </c>
      <c r="D146" s="6" t="n">
        <v>2023</v>
      </c>
      <c r="E146" s="6" t="inlineStr">
        <is>
          <t>IT</t>
        </is>
      </c>
      <c r="F146" s="6" t="inlineStr">
        <is>
          <t>Conventioné</t>
        </is>
      </c>
      <c r="G146" s="6" t="inlineStr">
        <is>
          <t>2023-09-14</t>
        </is>
      </c>
      <c r="H146" s="6" t="inlineStr">
        <is>
          <t>2024-02-02</t>
        </is>
      </c>
      <c r="I146" s="6" t="n"/>
      <c r="J146" s="10" t="n"/>
      <c r="K146" s="10" t="n"/>
      <c r="L146" s="10" t="n"/>
      <c r="M146" s="10" t="n"/>
      <c r="N146" s="10" t="n"/>
      <c r="O146" s="10" t="n"/>
      <c r="P146" s="10" t="n"/>
      <c r="Q146" s="10" t="inlineStr">
        <is>
          <t>⬜ À enrichir</t>
        </is>
      </c>
      <c r="R146" s="10" t="n"/>
    </row>
    <row r="147" hidden="1" ht="15.75" customHeight="1" s="24">
      <c r="A147" s="6" t="n">
        <v>347</v>
      </c>
      <c r="B147" s="6" t="inlineStr">
        <is>
          <t>Daniel</t>
        </is>
      </c>
      <c r="C147" s="6" t="inlineStr">
        <is>
          <t>MOREIRA</t>
        </is>
      </c>
      <c r="D147" s="6" t="n">
        <v>2023</v>
      </c>
      <c r="E147" s="6" t="inlineStr">
        <is>
          <t>IT</t>
        </is>
      </c>
      <c r="F147" s="6" t="inlineStr">
        <is>
          <t>Bénévole</t>
        </is>
      </c>
      <c r="G147" s="6" t="inlineStr">
        <is>
          <t>2022-11-17</t>
        </is>
      </c>
      <c r="H147" s="6" t="inlineStr">
        <is>
          <t>2023-03-10</t>
        </is>
      </c>
      <c r="I147" s="6" t="n"/>
      <c r="J147" s="10" t="n"/>
      <c r="K147" s="10" t="n"/>
      <c r="L147" s="10" t="n"/>
      <c r="M147" s="10" t="n"/>
      <c r="N147" s="10" t="n"/>
      <c r="O147" s="10" t="n"/>
      <c r="P147" s="10" t="n"/>
      <c r="Q147" s="10" t="inlineStr">
        <is>
          <t>⬜ À enrichir</t>
        </is>
      </c>
      <c r="R147" s="10" t="n"/>
    </row>
    <row r="148" hidden="1" ht="15.75" customHeight="1" s="24">
      <c r="A148" s="6" t="n">
        <v>348</v>
      </c>
      <c r="B148" s="6" t="inlineStr">
        <is>
          <t>Diaka</t>
        </is>
      </c>
      <c r="C148" s="6" t="inlineStr">
        <is>
          <t>MORY KABA</t>
        </is>
      </c>
      <c r="D148" s="6" t="n">
        <v>2023</v>
      </c>
      <c r="E148" s="6" t="inlineStr">
        <is>
          <t>SC/ Agriculture durable</t>
        </is>
      </c>
      <c r="F148" s="6" t="inlineStr">
        <is>
          <t>Bénévole</t>
        </is>
      </c>
      <c r="G148" s="6" t="inlineStr">
        <is>
          <t>2023-03-06</t>
        </is>
      </c>
      <c r="H148" s="6" t="inlineStr">
        <is>
          <t>2023-09-08</t>
        </is>
      </c>
      <c r="I148" s="6" t="n"/>
      <c r="J148" s="10" t="n"/>
      <c r="K148" s="10" t="n"/>
      <c r="L148" s="10" t="n"/>
      <c r="M148" s="10" t="n"/>
      <c r="N148" s="10" t="n"/>
      <c r="O148" s="10" t="n"/>
      <c r="P148" s="10" t="n"/>
      <c r="Q148" s="10" t="inlineStr">
        <is>
          <t>⬜ À enrichir</t>
        </is>
      </c>
      <c r="R148" s="10" t="n"/>
    </row>
    <row r="149" hidden="1" ht="15.75" customHeight="1" s="24">
      <c r="A149" s="6" t="n">
        <v>358</v>
      </c>
      <c r="B149" s="6" t="inlineStr">
        <is>
          <t>Tamara</t>
        </is>
      </c>
      <c r="C149" s="6" t="inlineStr">
        <is>
          <t>Mirval</t>
        </is>
      </c>
      <c r="D149" s="6" t="n">
        <v>2023</v>
      </c>
      <c r="E149" s="6" t="inlineStr">
        <is>
          <t>IT</t>
        </is>
      </c>
      <c r="F149" s="6" t="inlineStr">
        <is>
          <t>Conventioné</t>
        </is>
      </c>
      <c r="G149" s="6" t="inlineStr">
        <is>
          <t>2023-03-13</t>
        </is>
      </c>
      <c r="H149" s="6" t="inlineStr">
        <is>
          <t>2023-11-08</t>
        </is>
      </c>
      <c r="I149" s="6" t="inlineStr">
        <is>
          <t>Non</t>
        </is>
      </c>
      <c r="J149" s="10" t="n"/>
      <c r="K149" s="10" t="n"/>
      <c r="L149" s="10" t="n"/>
      <c r="M149" s="10" t="n"/>
      <c r="N149" s="10" t="n"/>
      <c r="O149" s="10" t="n"/>
      <c r="P149" s="10" t="n"/>
      <c r="Q149" s="10" t="inlineStr">
        <is>
          <t>⬜ À enrichir</t>
        </is>
      </c>
      <c r="R149" s="10" t="n"/>
    </row>
    <row r="150" hidden="1" ht="15.75" customHeight="1" s="24">
      <c r="A150" s="6" t="n">
        <v>359</v>
      </c>
      <c r="B150" s="6" t="inlineStr">
        <is>
          <t>Yavo Paul Emmanuel</t>
        </is>
      </c>
      <c r="C150" s="6" t="inlineStr">
        <is>
          <t>M’Bassidjé</t>
        </is>
      </c>
      <c r="D150" s="6" t="n">
        <v>2023</v>
      </c>
      <c r="E150" s="6" t="inlineStr">
        <is>
          <t>fundraising:  Publication  Subvention:</t>
        </is>
      </c>
      <c r="F150" s="6" t="inlineStr">
        <is>
          <t>Bénévole</t>
        </is>
      </c>
      <c r="G150" s="6" t="inlineStr">
        <is>
          <t>2023-05-30</t>
        </is>
      </c>
      <c r="H150" s="6" t="inlineStr">
        <is>
          <t>2023-12-01</t>
        </is>
      </c>
      <c r="I150" s="6" t="inlineStr">
        <is>
          <t>Alumni gratuit</t>
        </is>
      </c>
      <c r="J150" s="10" t="n"/>
      <c r="K150" s="10" t="n"/>
      <c r="L150" s="10" t="n"/>
      <c r="M150" s="10" t="n"/>
      <c r="N150" s="10" t="n"/>
      <c r="O150" s="10" t="n"/>
      <c r="P150" s="10" t="n"/>
      <c r="Q150" s="10" t="inlineStr">
        <is>
          <t>⬜ À enrichir</t>
        </is>
      </c>
      <c r="R150" s="10" t="n"/>
    </row>
    <row r="151" hidden="1" ht="15.75" customHeight="1" s="24">
      <c r="A151" s="6" t="n">
        <v>360</v>
      </c>
      <c r="B151" s="6" t="inlineStr">
        <is>
          <t>Nathalie</t>
        </is>
      </c>
      <c r="C151" s="6" t="inlineStr">
        <is>
          <t>N'DALA- LOUIKA</t>
        </is>
      </c>
      <c r="D151" s="6" t="n">
        <v>2023</v>
      </c>
      <c r="E151" s="6" t="inlineStr">
        <is>
          <t>RH</t>
        </is>
      </c>
      <c r="F151" s="6" t="inlineStr">
        <is>
          <t>Conventioné</t>
        </is>
      </c>
      <c r="G151" s="6" t="inlineStr">
        <is>
          <t>2023-02-01</t>
        </is>
      </c>
      <c r="H151" s="6" t="inlineStr">
        <is>
          <t>2023-07-21</t>
        </is>
      </c>
      <c r="I151" s="6" t="n"/>
      <c r="J151" s="10" t="n"/>
      <c r="K151" s="10" t="n"/>
      <c r="L151" s="10" t="n"/>
      <c r="M151" s="10" t="n"/>
      <c r="N151" s="10" t="n"/>
      <c r="O151" s="10" t="n"/>
      <c r="P151" s="10" t="n"/>
      <c r="Q151" s="10" t="inlineStr">
        <is>
          <t>⬜ À enrichir</t>
        </is>
      </c>
      <c r="R151" s="10" t="n"/>
    </row>
    <row r="152" hidden="1" ht="15.75" customHeight="1" s="24">
      <c r="A152" s="6" t="n">
        <v>361</v>
      </c>
      <c r="B152" s="6" t="inlineStr">
        <is>
          <t>Abdoul Idy</t>
        </is>
      </c>
      <c r="C152" s="6" t="inlineStr">
        <is>
          <t>N'DAO</t>
        </is>
      </c>
      <c r="D152" s="6" t="n">
        <v>2023</v>
      </c>
      <c r="E152" s="6" t="inlineStr">
        <is>
          <t>Data analyst</t>
        </is>
      </c>
      <c r="F152" s="6" t="inlineStr">
        <is>
          <t>Bénévole</t>
        </is>
      </c>
      <c r="G152" s="6" t="n"/>
      <c r="H152" s="6" t="n"/>
      <c r="I152" s="6" t="n"/>
      <c r="J152" s="10" t="n"/>
      <c r="K152" s="10" t="n"/>
      <c r="L152" s="10" t="n"/>
      <c r="M152" s="10" t="n"/>
      <c r="N152" s="10" t="n"/>
      <c r="O152" s="10" t="n"/>
      <c r="P152" s="10" t="n"/>
      <c r="Q152" s="10" t="inlineStr">
        <is>
          <t>⬜ À enrichir</t>
        </is>
      </c>
      <c r="R152" s="10" t="n"/>
    </row>
    <row r="153" hidden="1" ht="15.75" customHeight="1" s="24">
      <c r="A153" s="6" t="n">
        <v>366</v>
      </c>
      <c r="B153" s="6" t="inlineStr">
        <is>
          <t>Mohamed</t>
        </is>
      </c>
      <c r="C153" s="6" t="inlineStr">
        <is>
          <t>NASSURDINE</t>
        </is>
      </c>
      <c r="D153" s="6" t="n">
        <v>2023</v>
      </c>
      <c r="E153" s="6" t="inlineStr">
        <is>
          <t>GCBO/ ACV</t>
        </is>
      </c>
      <c r="F153" s="6" t="inlineStr">
        <is>
          <t>Conventioné</t>
        </is>
      </c>
      <c r="G153" s="6" t="inlineStr">
        <is>
          <t>2023-03-06</t>
        </is>
      </c>
      <c r="H153" s="6" t="inlineStr">
        <is>
          <t>2023-09-08</t>
        </is>
      </c>
      <c r="I153" s="6" t="n"/>
      <c r="J153" s="10" t="n"/>
      <c r="K153" s="10" t="n"/>
      <c r="L153" s="10" t="n"/>
      <c r="M153" s="10" t="n"/>
      <c r="N153" s="10" t="n"/>
      <c r="O153" s="10" t="n"/>
      <c r="P153" s="10" t="n"/>
      <c r="Q153" s="10" t="inlineStr">
        <is>
          <t>⬜ À enrichir</t>
        </is>
      </c>
      <c r="R153" s="10" t="n"/>
    </row>
    <row r="154" hidden="1" ht="15.75" customHeight="1" s="24">
      <c r="A154" s="6" t="n">
        <v>372</v>
      </c>
      <c r="B154" s="6" t="inlineStr">
        <is>
          <t>Brenda</t>
        </is>
      </c>
      <c r="C154" s="6" t="inlineStr">
        <is>
          <t>NGUIMANG</t>
        </is>
      </c>
      <c r="D154" s="6" t="n">
        <v>2023</v>
      </c>
      <c r="E154" s="6" t="inlineStr">
        <is>
          <t>RH</t>
        </is>
      </c>
      <c r="F154" s="6" t="inlineStr">
        <is>
          <t>Conventioné</t>
        </is>
      </c>
      <c r="G154" s="6" t="inlineStr">
        <is>
          <t>2023-04-12</t>
        </is>
      </c>
      <c r="H154" s="6" t="inlineStr">
        <is>
          <t>2023-07-14</t>
        </is>
      </c>
      <c r="I154" s="6" t="n"/>
      <c r="J154" s="10" t="n"/>
      <c r="K154" s="10" t="n"/>
      <c r="L154" s="10" t="n"/>
      <c r="M154" s="10" t="n"/>
      <c r="N154" s="10" t="n"/>
      <c r="O154" s="10" t="n"/>
      <c r="P154" s="10" t="n"/>
      <c r="Q154" s="10" t="inlineStr">
        <is>
          <t>⬜ À enrichir</t>
        </is>
      </c>
      <c r="R154" s="10" t="n"/>
    </row>
    <row r="155" hidden="1" ht="15.75" customHeight="1" s="24">
      <c r="A155" s="6" t="n">
        <v>375</v>
      </c>
      <c r="B155" s="6" t="inlineStr">
        <is>
          <t>Jessica</t>
        </is>
      </c>
      <c r="C155" s="6" t="inlineStr">
        <is>
          <t>NOEL</t>
        </is>
      </c>
      <c r="D155" s="6" t="n">
        <v>2023</v>
      </c>
      <c r="E155" s="6" t="inlineStr">
        <is>
          <t>RH</t>
        </is>
      </c>
      <c r="F155" s="6" t="inlineStr">
        <is>
          <t>Bénévole</t>
        </is>
      </c>
      <c r="G155" s="6" t="inlineStr">
        <is>
          <t>2022-09-07</t>
        </is>
      </c>
      <c r="H155" s="6" t="inlineStr">
        <is>
          <t>2023-02-24</t>
        </is>
      </c>
      <c r="I155" s="6" t="n"/>
      <c r="J155" s="10" t="n"/>
      <c r="K155" s="10" t="n"/>
      <c r="L155" s="10" t="n"/>
      <c r="M155" s="10" t="n"/>
      <c r="N155" s="10" t="n"/>
      <c r="O155" s="10" t="n"/>
      <c r="P155" s="10" t="n"/>
      <c r="Q155" s="10" t="inlineStr">
        <is>
          <t>⬜ À enrichir</t>
        </is>
      </c>
      <c r="R155" s="10" t="n"/>
    </row>
    <row r="156" hidden="1" ht="15.75" customHeight="1" s="24">
      <c r="A156" s="6" t="n">
        <v>376</v>
      </c>
      <c r="B156" s="6" t="inlineStr">
        <is>
          <t>Camille</t>
        </is>
      </c>
      <c r="C156" s="6" t="inlineStr">
        <is>
          <t>NOUVELIERE</t>
        </is>
      </c>
      <c r="D156" s="6" t="n">
        <v>2023</v>
      </c>
      <c r="E156" s="6" t="inlineStr">
        <is>
          <t>Coach</t>
        </is>
      </c>
      <c r="F156" s="6" t="inlineStr">
        <is>
          <t>Conventioné</t>
        </is>
      </c>
      <c r="G156" s="6" t="inlineStr">
        <is>
          <t>2023-07-26</t>
        </is>
      </c>
      <c r="H156" s="6" t="inlineStr">
        <is>
          <t>2023-11-24</t>
        </is>
      </c>
      <c r="I156" s="6" t="n"/>
      <c r="J156" s="10" t="n"/>
      <c r="K156" s="10" t="n"/>
      <c r="L156" s="10" t="n"/>
      <c r="M156" s="10" t="n"/>
      <c r="N156" s="10" t="n"/>
      <c r="O156" s="10" t="n"/>
      <c r="P156" s="10" t="n"/>
      <c r="Q156" s="10" t="inlineStr">
        <is>
          <t>⬜ À enrichir</t>
        </is>
      </c>
      <c r="R156" s="10" t="n"/>
    </row>
    <row r="157" hidden="1" ht="15.75" customHeight="1" s="24">
      <c r="A157" s="6" t="n">
        <v>378</v>
      </c>
      <c r="B157" s="6" t="inlineStr">
        <is>
          <t>Maeva</t>
        </is>
      </c>
      <c r="C157" s="6" t="inlineStr">
        <is>
          <t>NSUKA</t>
        </is>
      </c>
      <c r="D157" s="6" t="n">
        <v>2023</v>
      </c>
      <c r="E157" s="6" t="inlineStr">
        <is>
          <t>Branding/ CM/ Partenariat/ GES</t>
        </is>
      </c>
      <c r="F157" s="6" t="inlineStr">
        <is>
          <t>Conventioné</t>
        </is>
      </c>
      <c r="G157" s="6" t="inlineStr">
        <is>
          <t>2024-02-06</t>
        </is>
      </c>
      <c r="H157" s="6" t="inlineStr">
        <is>
          <t>2023-05-05</t>
        </is>
      </c>
      <c r="I157" s="6" t="n"/>
      <c r="J157" s="10" t="n"/>
      <c r="K157" s="10" t="n"/>
      <c r="L157" s="10" t="n"/>
      <c r="M157" s="10" t="n"/>
      <c r="N157" s="10" t="n"/>
      <c r="O157" s="10" t="n"/>
      <c r="P157" s="10" t="n"/>
      <c r="Q157" s="10" t="inlineStr">
        <is>
          <t>⬜ À enrichir</t>
        </is>
      </c>
      <c r="R157" s="10" t="n"/>
    </row>
    <row r="158" hidden="1" ht="15.75" customHeight="1" s="24">
      <c r="A158" s="6" t="n">
        <v>379</v>
      </c>
      <c r="B158" s="6" t="inlineStr">
        <is>
          <t>Loïck</t>
        </is>
      </c>
      <c r="C158" s="6" t="inlineStr">
        <is>
          <t>NTIBA</t>
        </is>
      </c>
      <c r="D158" s="6" t="n">
        <v>2023</v>
      </c>
      <c r="E158" s="6" t="inlineStr">
        <is>
          <t>CM</t>
        </is>
      </c>
      <c r="F158" s="6" t="inlineStr">
        <is>
          <t>Conventioné</t>
        </is>
      </c>
      <c r="G158" s="6" t="inlineStr">
        <is>
          <t>2023-03-13</t>
        </is>
      </c>
      <c r="H158" s="6" t="inlineStr">
        <is>
          <t>2023-07-14</t>
        </is>
      </c>
      <c r="I158" s="6" t="n"/>
      <c r="J158" s="10" t="n"/>
      <c r="K158" s="10" t="n"/>
      <c r="L158" s="10" t="n"/>
      <c r="M158" s="10" t="n"/>
      <c r="N158" s="10" t="n"/>
      <c r="O158" s="10" t="n"/>
      <c r="P158" s="10" t="n"/>
      <c r="Q158" s="10" t="inlineStr">
        <is>
          <t>⬜ À enrichir</t>
        </is>
      </c>
      <c r="R158" s="10" t="n"/>
    </row>
    <row r="159" hidden="1" ht="15.75" customHeight="1" s="24">
      <c r="A159" s="6" t="n">
        <v>380</v>
      </c>
      <c r="B159" s="6" t="inlineStr">
        <is>
          <t>Nassim</t>
        </is>
      </c>
      <c r="C159" s="6" t="inlineStr">
        <is>
          <t>Nachef</t>
        </is>
      </c>
      <c r="D159" s="6" t="n">
        <v>2023</v>
      </c>
      <c r="E159" s="6" t="inlineStr">
        <is>
          <t xml:space="preserve">Formation </t>
        </is>
      </c>
      <c r="F159" s="6" t="inlineStr">
        <is>
          <t>Bénévole</t>
        </is>
      </c>
      <c r="G159" s="6" t="inlineStr">
        <is>
          <t>2023-05-23</t>
        </is>
      </c>
      <c r="H159" s="6" t="inlineStr">
        <is>
          <t>2023-11-24</t>
        </is>
      </c>
      <c r="I159" s="6" t="n"/>
      <c r="J159" s="10" t="n"/>
      <c r="K159" s="10" t="n"/>
      <c r="L159" s="10" t="n"/>
      <c r="M159" s="10" t="n"/>
      <c r="N159" s="10" t="n"/>
      <c r="O159" s="10" t="n"/>
      <c r="P159" s="10" t="n"/>
      <c r="Q159" s="10" t="inlineStr">
        <is>
          <t>⬜ À enrichir</t>
        </is>
      </c>
      <c r="R159" s="10" t="n"/>
    </row>
    <row r="160" hidden="1" ht="15.75" customHeight="1" s="24">
      <c r="A160" s="6" t="n">
        <v>382</v>
      </c>
      <c r="B160" s="6" t="inlineStr">
        <is>
          <t>Zoé</t>
        </is>
      </c>
      <c r="C160" s="6" t="inlineStr">
        <is>
          <t>Nahouhou</t>
        </is>
      </c>
      <c r="D160" s="6" t="n">
        <v>2023</v>
      </c>
      <c r="E160" s="6" t="inlineStr">
        <is>
          <t xml:space="preserve">Partenariat Branding / Répertoire Vert CM </t>
        </is>
      </c>
      <c r="F160" s="6" t="inlineStr">
        <is>
          <t>Conventioné</t>
        </is>
      </c>
      <c r="G160" s="6" t="inlineStr">
        <is>
          <t>2023-03-07</t>
        </is>
      </c>
      <c r="H160" s="6" t="inlineStr">
        <is>
          <t>2023-09-01</t>
        </is>
      </c>
      <c r="I160" s="6" t="inlineStr">
        <is>
          <t>Non</t>
        </is>
      </c>
      <c r="J160" s="10" t="n"/>
      <c r="K160" s="10" t="n"/>
      <c r="L160" s="10" t="n"/>
      <c r="M160" s="10" t="n"/>
      <c r="N160" s="10" t="n"/>
      <c r="O160" s="10" t="n"/>
      <c r="P160" s="10" t="n"/>
      <c r="Q160" s="10" t="inlineStr">
        <is>
          <t>⬜ À enrichir</t>
        </is>
      </c>
      <c r="R160" s="10" t="n"/>
    </row>
    <row r="161" hidden="1" ht="15.75" customHeight="1" s="24">
      <c r="A161" s="6" t="n">
        <v>383</v>
      </c>
      <c r="B161" s="6" t="inlineStr">
        <is>
          <t>Sobia</t>
        </is>
      </c>
      <c r="C161" s="6" t="inlineStr">
        <is>
          <t>Nazir</t>
        </is>
      </c>
      <c r="D161" s="6" t="n">
        <v>2023</v>
      </c>
      <c r="E161" s="6" t="inlineStr">
        <is>
          <t>Budget et SC</t>
        </is>
      </c>
      <c r="F161" s="6" t="inlineStr">
        <is>
          <t>Bénévole</t>
        </is>
      </c>
      <c r="G161" s="6" t="inlineStr">
        <is>
          <t>2022-10-11</t>
        </is>
      </c>
      <c r="H161" s="6" t="inlineStr">
        <is>
          <t>2023-11-14</t>
        </is>
      </c>
      <c r="I161" s="6" t="inlineStr">
        <is>
          <t>Non</t>
        </is>
      </c>
      <c r="J161" s="10" t="n"/>
      <c r="K161" s="10" t="n"/>
      <c r="L161" s="10" t="n"/>
      <c r="M161" s="10" t="n"/>
      <c r="N161" s="10" t="n"/>
      <c r="O161" s="10" t="n"/>
      <c r="P161" s="10" t="n"/>
      <c r="Q161" s="10" t="inlineStr">
        <is>
          <t>⬜ À enrichir</t>
        </is>
      </c>
      <c r="R161" s="10" t="n"/>
    </row>
    <row r="162" hidden="1" ht="15.75" customHeight="1" s="24">
      <c r="A162" s="6" t="n">
        <v>387</v>
      </c>
      <c r="B162" s="6" t="inlineStr">
        <is>
          <t>Tatiana</t>
        </is>
      </c>
      <c r="C162" s="6" t="inlineStr">
        <is>
          <t>OSIPENKO</t>
        </is>
      </c>
      <c r="D162" s="6" t="n">
        <v>2023</v>
      </c>
      <c r="E162" s="6" t="inlineStr">
        <is>
          <t>Coach</t>
        </is>
      </c>
      <c r="F162" s="6" t="inlineStr">
        <is>
          <t>Bénévole</t>
        </is>
      </c>
      <c r="G162" s="6" t="inlineStr">
        <is>
          <t>2023-06-28</t>
        </is>
      </c>
      <c r="H162" s="6" t="inlineStr">
        <is>
          <t>2023-09-29</t>
        </is>
      </c>
      <c r="I162" s="6" t="n"/>
      <c r="J162" s="10" t="n"/>
      <c r="K162" s="10" t="n"/>
      <c r="L162" s="10" t="n"/>
      <c r="M162" s="10" t="n"/>
      <c r="N162" s="10" t="n"/>
      <c r="O162" s="10" t="n"/>
      <c r="P162" s="10" t="n"/>
      <c r="Q162" s="10" t="inlineStr">
        <is>
          <t>⬜ À enrichir</t>
        </is>
      </c>
      <c r="R162" s="10" t="n"/>
    </row>
    <row r="163" hidden="1" ht="15.75" customHeight="1" s="24">
      <c r="A163" s="6" t="n">
        <v>388</v>
      </c>
      <c r="B163" s="6" t="inlineStr">
        <is>
          <t>Abass</t>
        </is>
      </c>
      <c r="C163" s="6" t="inlineStr">
        <is>
          <t>OUEDRAGOGO</t>
        </is>
      </c>
      <c r="D163" s="6" t="n">
        <v>2023</v>
      </c>
      <c r="E163" s="6" t="inlineStr">
        <is>
          <t>PAS DE TSC</t>
        </is>
      </c>
      <c r="F163" s="6" t="n"/>
      <c r="G163" s="6" t="n"/>
      <c r="H163" s="6" t="n"/>
      <c r="I163" s="6" t="n"/>
      <c r="J163" s="10" t="n"/>
      <c r="K163" s="10" t="n"/>
      <c r="L163" s="10" t="n"/>
      <c r="M163" s="10" t="n"/>
      <c r="N163" s="10" t="n"/>
      <c r="O163" s="10" t="n"/>
      <c r="P163" s="10" t="n"/>
      <c r="Q163" s="10" t="inlineStr">
        <is>
          <t>⬜ À enrichir</t>
        </is>
      </c>
      <c r="R163" s="10" t="n"/>
    </row>
    <row r="164" hidden="1" ht="15.75" customHeight="1" s="24">
      <c r="A164" s="6" t="n">
        <v>389</v>
      </c>
      <c r="B164" s="6" t="inlineStr">
        <is>
          <t>Benmahmoud</t>
        </is>
      </c>
      <c r="C164" s="6" t="inlineStr">
        <is>
          <t>Oumayma</t>
        </is>
      </c>
      <c r="D164" s="6" t="n">
        <v>2023</v>
      </c>
      <c r="E164" s="6" t="inlineStr">
        <is>
          <t xml:space="preserve">alimentation durable </t>
        </is>
      </c>
      <c r="F164" s="6" t="inlineStr">
        <is>
          <t>Bénévole</t>
        </is>
      </c>
      <c r="G164" s="6" t="inlineStr">
        <is>
          <t>2022-11-08</t>
        </is>
      </c>
      <c r="H164" s="6" t="inlineStr">
        <is>
          <t>2023-06-02</t>
        </is>
      </c>
      <c r="I164" s="6" t="n"/>
      <c r="J164" s="10" t="n"/>
      <c r="K164" s="10" t="n"/>
      <c r="L164" s="10" t="n"/>
      <c r="M164" s="10" t="n"/>
      <c r="N164" s="10" t="n"/>
      <c r="O164" s="10" t="n"/>
      <c r="P164" s="10" t="n"/>
      <c r="Q164" s="10" t="inlineStr">
        <is>
          <t>⬜ À enrichir</t>
        </is>
      </c>
      <c r="R164" s="10" t="n"/>
    </row>
    <row r="165" hidden="1" ht="15.75" customHeight="1" s="24">
      <c r="A165" s="6" t="n">
        <v>392</v>
      </c>
      <c r="B165" s="6" t="inlineStr">
        <is>
          <t>Damien</t>
        </is>
      </c>
      <c r="C165" s="6" t="inlineStr">
        <is>
          <t>PALM</t>
        </is>
      </c>
      <c r="D165" s="6" t="n">
        <v>2023</v>
      </c>
      <c r="E165" s="6" t="inlineStr">
        <is>
          <t>IT</t>
        </is>
      </c>
      <c r="F165" s="6" t="inlineStr">
        <is>
          <t>Conventioné</t>
        </is>
      </c>
      <c r="G165" s="6" t="inlineStr">
        <is>
          <t>2023-03-09</t>
        </is>
      </c>
      <c r="H165" s="6" t="inlineStr">
        <is>
          <t>2023-06-02</t>
        </is>
      </c>
      <c r="I165" s="6" t="n"/>
      <c r="J165" s="10" t="n"/>
      <c r="K165" s="10" t="n"/>
      <c r="L165" s="10" t="n"/>
      <c r="M165" s="10" t="n"/>
      <c r="N165" s="10" t="n"/>
      <c r="O165" s="10" t="n"/>
      <c r="P165" s="10" t="n"/>
      <c r="Q165" s="10" t="inlineStr">
        <is>
          <t>⬜ À enrichir</t>
        </is>
      </c>
      <c r="R165" s="10" t="n"/>
    </row>
    <row r="166" hidden="1" ht="15.75" customHeight="1" s="24">
      <c r="A166" s="6" t="n">
        <v>393</v>
      </c>
      <c r="B166" s="6" t="inlineStr">
        <is>
          <t>Céline</t>
        </is>
      </c>
      <c r="C166" s="6" t="inlineStr">
        <is>
          <t>PALTRINIERI</t>
        </is>
      </c>
      <c r="D166" s="6" t="n">
        <v>2023</v>
      </c>
      <c r="E166" s="6" t="inlineStr">
        <is>
          <t>RH</t>
        </is>
      </c>
      <c r="F166" s="6" t="inlineStr">
        <is>
          <t>Conventioné</t>
        </is>
      </c>
      <c r="G166" s="6" t="inlineStr">
        <is>
          <t>2023-01-18</t>
        </is>
      </c>
      <c r="H166" s="6" t="inlineStr">
        <is>
          <t>2023-04-21</t>
        </is>
      </c>
      <c r="I166" s="6" t="n"/>
      <c r="J166" s="10" t="n"/>
      <c r="K166" s="10" t="n"/>
      <c r="L166" s="10" t="n"/>
      <c r="M166" s="10" t="n"/>
      <c r="N166" s="10" t="n"/>
      <c r="O166" s="10" t="n"/>
      <c r="P166" s="10" t="n"/>
      <c r="Q166" s="10" t="inlineStr">
        <is>
          <t>⬜ À enrichir</t>
        </is>
      </c>
      <c r="R166" s="10" t="n"/>
    </row>
    <row r="167" hidden="1" ht="15.75" customHeight="1" s="24">
      <c r="A167" s="6" t="n">
        <v>398</v>
      </c>
      <c r="B167" s="6" t="inlineStr">
        <is>
          <t>Boubacar</t>
        </is>
      </c>
      <c r="C167" s="6" t="inlineStr">
        <is>
          <t>PELAGE</t>
        </is>
      </c>
      <c r="D167" s="6" t="n">
        <v>2023</v>
      </c>
      <c r="E167" s="6" t="inlineStr">
        <is>
          <t>IT</t>
        </is>
      </c>
      <c r="F167" s="6" t="inlineStr">
        <is>
          <t>Conventioné</t>
        </is>
      </c>
      <c r="G167" s="6" t="inlineStr">
        <is>
          <t>2022-01-18</t>
        </is>
      </c>
      <c r="H167" s="6" t="inlineStr">
        <is>
          <t>2023-05-26</t>
        </is>
      </c>
      <c r="I167" s="6" t="n"/>
      <c r="J167" s="10" t="n"/>
      <c r="K167" s="10" t="n"/>
      <c r="L167" s="10" t="n"/>
      <c r="M167" s="10" t="n"/>
      <c r="N167" s="10" t="n"/>
      <c r="O167" s="10" t="n"/>
      <c r="P167" s="10" t="n"/>
      <c r="Q167" s="10" t="inlineStr">
        <is>
          <t>⬜ À enrichir</t>
        </is>
      </c>
      <c r="R167" s="10" t="n"/>
    </row>
    <row r="168" hidden="1" ht="15.75" customHeight="1" s="24">
      <c r="A168" s="6" t="n">
        <v>399</v>
      </c>
      <c r="B168" s="6" t="inlineStr">
        <is>
          <t>Johan</t>
        </is>
      </c>
      <c r="C168" s="6" t="inlineStr">
        <is>
          <t>PEREZ</t>
        </is>
      </c>
      <c r="D168" s="6" t="n">
        <v>2023</v>
      </c>
      <c r="E168" s="6" t="inlineStr">
        <is>
          <t>Formation</t>
        </is>
      </c>
      <c r="F168" s="6" t="inlineStr">
        <is>
          <t>Conventioné</t>
        </is>
      </c>
      <c r="G168" s="6" t="inlineStr">
        <is>
          <t>2023-04-13</t>
        </is>
      </c>
      <c r="H168" s="6" t="inlineStr">
        <is>
          <t>2023-10-13</t>
        </is>
      </c>
      <c r="I168" s="6" t="n"/>
      <c r="J168" s="10" t="n"/>
      <c r="K168" s="10" t="n"/>
      <c r="L168" s="10" t="n"/>
      <c r="M168" s="10" t="n"/>
      <c r="N168" s="10" t="n"/>
      <c r="O168" s="10" t="n"/>
      <c r="P168" s="10" t="n"/>
      <c r="Q168" s="10" t="inlineStr">
        <is>
          <t>⬜ À enrichir</t>
        </is>
      </c>
      <c r="R168" s="10" t="n"/>
    </row>
    <row r="169" hidden="1" ht="15.75" customHeight="1" s="24">
      <c r="A169" s="6" t="n">
        <v>400</v>
      </c>
      <c r="B169" s="6" t="inlineStr">
        <is>
          <t>Mégane</t>
        </is>
      </c>
      <c r="C169" s="6" t="inlineStr">
        <is>
          <t>PILON</t>
        </is>
      </c>
      <c r="D169" s="6" t="n">
        <v>2023</v>
      </c>
      <c r="E169" s="6" t="inlineStr">
        <is>
          <t>IT</t>
        </is>
      </c>
      <c r="F169" s="6" t="inlineStr">
        <is>
          <t>Conventioné</t>
        </is>
      </c>
      <c r="G169" s="6" t="inlineStr">
        <is>
          <t>2023-03-02</t>
        </is>
      </c>
      <c r="H169" s="6" t="inlineStr">
        <is>
          <t>2023-05-26</t>
        </is>
      </c>
      <c r="I169" s="6" t="n"/>
      <c r="J169" s="10" t="n"/>
      <c r="K169" s="10" t="n"/>
      <c r="L169" s="10" t="n"/>
      <c r="M169" s="10" t="n"/>
      <c r="N169" s="10" t="n"/>
      <c r="O169" s="10" t="n"/>
      <c r="P169" s="10" t="n"/>
      <c r="Q169" s="10" t="inlineStr">
        <is>
          <t>⬜ À enrichir</t>
        </is>
      </c>
      <c r="R169" s="10" t="n"/>
    </row>
    <row r="170" hidden="1" ht="15.75" customHeight="1" s="24">
      <c r="A170" s="6" t="n">
        <v>402</v>
      </c>
      <c r="B170" s="6" t="inlineStr">
        <is>
          <t>Lauryne</t>
        </is>
      </c>
      <c r="C170" s="6" t="inlineStr">
        <is>
          <t>PINGUET</t>
        </is>
      </c>
      <c r="D170" s="6" t="n">
        <v>2023</v>
      </c>
      <c r="E170" s="6" t="inlineStr">
        <is>
          <t>SC/ Eco mobilité</t>
        </is>
      </c>
      <c r="F170" s="6" t="inlineStr">
        <is>
          <t>Conventioné</t>
        </is>
      </c>
      <c r="G170" s="6" t="inlineStr">
        <is>
          <t>2023-01-24</t>
        </is>
      </c>
      <c r="H170" s="6" t="inlineStr">
        <is>
          <t>2023-05-24</t>
        </is>
      </c>
      <c r="I170" s="6" t="n"/>
      <c r="J170" s="10" t="n"/>
      <c r="K170" s="10" t="n"/>
      <c r="L170" s="10" t="n"/>
      <c r="M170" s="10" t="n"/>
      <c r="N170" s="10" t="n"/>
      <c r="O170" s="10" t="n"/>
      <c r="P170" s="10" t="n"/>
      <c r="Q170" s="10" t="inlineStr">
        <is>
          <t>⬜ À enrichir</t>
        </is>
      </c>
      <c r="R170" s="10" t="n"/>
    </row>
    <row r="171" hidden="1" ht="15.75" customHeight="1" s="24">
      <c r="A171" s="6" t="n">
        <v>404</v>
      </c>
      <c r="B171" s="6" t="inlineStr">
        <is>
          <t>Aline</t>
        </is>
      </c>
      <c r="C171" s="6" t="inlineStr">
        <is>
          <t>PINTO</t>
        </is>
      </c>
      <c r="D171" s="6" t="n">
        <v>2023</v>
      </c>
      <c r="E171" s="6" t="inlineStr">
        <is>
          <t>RH</t>
        </is>
      </c>
      <c r="F171" s="6" t="inlineStr">
        <is>
          <t>Bénévole</t>
        </is>
      </c>
      <c r="G171" s="6" t="inlineStr">
        <is>
          <t>2023-09-13</t>
        </is>
      </c>
      <c r="H171" s="6" t="inlineStr">
        <is>
          <t>2024-03-15</t>
        </is>
      </c>
      <c r="I171" s="6" t="n"/>
      <c r="J171" s="10" t="n"/>
      <c r="K171" s="10" t="n"/>
      <c r="L171" s="10" t="n"/>
      <c r="M171" s="10" t="n"/>
      <c r="N171" s="10" t="n"/>
      <c r="O171" s="10" t="n"/>
      <c r="P171" s="10" t="n"/>
      <c r="Q171" s="10" t="inlineStr">
        <is>
          <t>⬜ À enrichir</t>
        </is>
      </c>
      <c r="R171" s="10" t="n"/>
    </row>
    <row r="172" hidden="1" ht="15.75" customHeight="1" s="24">
      <c r="A172" s="6" t="n">
        <v>409</v>
      </c>
      <c r="B172" s="6" t="inlineStr">
        <is>
          <t>Valentin</t>
        </is>
      </c>
      <c r="C172" s="6" t="inlineStr">
        <is>
          <t>Quersin</t>
        </is>
      </c>
      <c r="D172" s="6" t="n">
        <v>2023</v>
      </c>
      <c r="E172" s="6" t="inlineStr">
        <is>
          <t>IT</t>
        </is>
      </c>
      <c r="F172" s="6" t="inlineStr">
        <is>
          <t>Conventioné</t>
        </is>
      </c>
      <c r="G172" s="6" t="inlineStr">
        <is>
          <t>2023-08-24</t>
        </is>
      </c>
      <c r="H172" s="6" t="inlineStr">
        <is>
          <t>2023-11-15</t>
        </is>
      </c>
      <c r="I172" s="6" t="inlineStr">
        <is>
          <t>Non</t>
        </is>
      </c>
      <c r="J172" s="10" t="n"/>
      <c r="K172" s="10" t="n"/>
      <c r="L172" s="10" t="n"/>
      <c r="M172" s="10" t="n"/>
      <c r="N172" s="10" t="n"/>
      <c r="O172" s="10" t="n"/>
      <c r="P172" s="10" t="n"/>
      <c r="Q172" s="10" t="inlineStr">
        <is>
          <t>⬜ À enrichir</t>
        </is>
      </c>
      <c r="R172" s="10" t="n"/>
    </row>
    <row r="173" hidden="1" ht="15.75" customHeight="1" s="24">
      <c r="A173" s="6" t="n">
        <v>412</v>
      </c>
      <c r="B173" s="6" t="inlineStr">
        <is>
          <t>Kevin</t>
        </is>
      </c>
      <c r="C173" s="6" t="inlineStr">
        <is>
          <t>RAMANANTSOA</t>
        </is>
      </c>
      <c r="D173" s="6" t="n">
        <v>2023</v>
      </c>
      <c r="E173" s="6" t="inlineStr">
        <is>
          <t>IT</t>
        </is>
      </c>
      <c r="F173" s="6" t="inlineStr">
        <is>
          <t>Conventioné</t>
        </is>
      </c>
      <c r="G173" s="6" t="inlineStr">
        <is>
          <t>2022-10-20</t>
        </is>
      </c>
      <c r="H173" s="6" t="inlineStr">
        <is>
          <t>2023-02-10</t>
        </is>
      </c>
      <c r="I173" s="6" t="n"/>
      <c r="J173" s="10" t="n"/>
      <c r="K173" s="10" t="n"/>
      <c r="L173" s="10" t="n"/>
      <c r="M173" s="10" t="n"/>
      <c r="N173" s="10" t="n"/>
      <c r="O173" s="10" t="n"/>
      <c r="P173" s="10" t="n"/>
      <c r="Q173" s="10" t="inlineStr">
        <is>
          <t>⬜ À enrichir</t>
        </is>
      </c>
      <c r="R173" s="10" t="n"/>
    </row>
    <row r="174" hidden="1" ht="15.75" customHeight="1" s="24">
      <c r="A174" s="6" t="n">
        <v>413</v>
      </c>
      <c r="B174" s="6" t="inlineStr">
        <is>
          <t>Ibtissam</t>
        </is>
      </c>
      <c r="C174" s="6" t="inlineStr">
        <is>
          <t>RAMDANI</t>
        </is>
      </c>
      <c r="D174" s="6" t="n">
        <v>2023</v>
      </c>
      <c r="E174" s="6" t="inlineStr">
        <is>
          <t>Coach</t>
        </is>
      </c>
      <c r="F174" s="6" t="inlineStr">
        <is>
          <t>Bénévole</t>
        </is>
      </c>
      <c r="G174" s="6" t="inlineStr">
        <is>
          <t>2023-11-29</t>
        </is>
      </c>
      <c r="H174" s="6" t="inlineStr">
        <is>
          <t>2024-06-21</t>
        </is>
      </c>
      <c r="I174" s="6" t="n"/>
      <c r="J174" s="10" t="n"/>
      <c r="K174" s="10" t="n"/>
      <c r="L174" s="10" t="n"/>
      <c r="M174" s="10" t="n"/>
      <c r="N174" s="10" t="n"/>
      <c r="O174" s="10" t="n"/>
      <c r="P174" s="10" t="n"/>
      <c r="Q174" s="10" t="inlineStr">
        <is>
          <t>⬜ À enrichir</t>
        </is>
      </c>
      <c r="R174" s="10" t="n"/>
    </row>
    <row r="175" hidden="1" ht="15.75" customHeight="1" s="24">
      <c r="A175" s="6" t="n">
        <v>414</v>
      </c>
      <c r="B175" s="6" t="inlineStr">
        <is>
          <t>Séverine</t>
        </is>
      </c>
      <c r="C175" s="6" t="inlineStr">
        <is>
          <t>RAMILLON</t>
        </is>
      </c>
      <c r="D175" s="6" t="n">
        <v>2023</v>
      </c>
      <c r="E175" s="6" t="inlineStr">
        <is>
          <t>Coach</t>
        </is>
      </c>
      <c r="F175" s="6" t="inlineStr">
        <is>
          <t>Bénévole</t>
        </is>
      </c>
      <c r="G175" s="6" t="inlineStr">
        <is>
          <t>2022-10-05</t>
        </is>
      </c>
      <c r="H175" s="6" t="inlineStr">
        <is>
          <t>2023-04-14</t>
        </is>
      </c>
      <c r="I175" s="6" t="n"/>
      <c r="J175" s="10" t="n"/>
      <c r="K175" s="10" t="n"/>
      <c r="L175" s="10" t="n"/>
      <c r="M175" s="10" t="n"/>
      <c r="N175" s="10" t="n"/>
      <c r="O175" s="10" t="n"/>
      <c r="P175" s="10" t="n"/>
      <c r="Q175" s="10" t="inlineStr">
        <is>
          <t>⬜ À enrichir</t>
        </is>
      </c>
      <c r="R175" s="10" t="n"/>
    </row>
    <row r="176" hidden="1" ht="15.75" customHeight="1" s="24">
      <c r="A176" s="6" t="n">
        <v>418</v>
      </c>
      <c r="B176" s="6" t="inlineStr">
        <is>
          <t>Alexandre</t>
        </is>
      </c>
      <c r="C176" s="6" t="inlineStr">
        <is>
          <t>RAYMOND</t>
        </is>
      </c>
      <c r="D176" s="6" t="n">
        <v>2023</v>
      </c>
      <c r="E176" s="6" t="inlineStr">
        <is>
          <t xml:space="preserve">Budget Admin et green finance </t>
        </is>
      </c>
      <c r="F176" s="6" t="inlineStr">
        <is>
          <t>Bénévole</t>
        </is>
      </c>
      <c r="G176" s="6" t="inlineStr">
        <is>
          <t>2023-07-25</t>
        </is>
      </c>
      <c r="H176" s="6" t="inlineStr">
        <is>
          <t>2023-10-27</t>
        </is>
      </c>
      <c r="I176" s="6" t="n"/>
      <c r="J176" s="10" t="n"/>
      <c r="K176" s="10" t="n"/>
      <c r="L176" s="10" t="n"/>
      <c r="M176" s="10" t="n"/>
      <c r="N176" s="10" t="n"/>
      <c r="O176" s="10" t="n"/>
      <c r="P176" s="10" t="n"/>
      <c r="Q176" s="10" t="inlineStr">
        <is>
          <t>⬜ À enrichir</t>
        </is>
      </c>
      <c r="R176" s="10" t="n"/>
    </row>
    <row r="177" hidden="1" ht="15.75" customHeight="1" s="24">
      <c r="A177" s="6" t="n">
        <v>423</v>
      </c>
      <c r="B177" s="6" t="inlineStr">
        <is>
          <t>Mélanie</t>
        </is>
      </c>
      <c r="C177" s="6" t="inlineStr">
        <is>
          <t>RIEU</t>
        </is>
      </c>
      <c r="D177" s="6" t="n">
        <v>2023</v>
      </c>
      <c r="E177" s="6" t="inlineStr">
        <is>
          <t>RH</t>
        </is>
      </c>
      <c r="F177" s="6" t="inlineStr">
        <is>
          <t>Bénévole</t>
        </is>
      </c>
      <c r="G177" s="6" t="inlineStr">
        <is>
          <t>2023-05-03</t>
        </is>
      </c>
      <c r="H177" s="6" t="inlineStr">
        <is>
          <t>2023-07-21</t>
        </is>
      </c>
      <c r="I177" s="6" t="n"/>
      <c r="J177" s="10" t="n"/>
      <c r="K177" s="10" t="n"/>
      <c r="L177" s="10" t="n"/>
      <c r="M177" s="10" t="n"/>
      <c r="N177" s="10" t="n"/>
      <c r="O177" s="10" t="n"/>
      <c r="P177" s="10" t="n"/>
      <c r="Q177" s="10" t="inlineStr">
        <is>
          <t>⬜ À enrichir</t>
        </is>
      </c>
      <c r="R177" s="10" t="n"/>
    </row>
    <row r="178" hidden="1" ht="15.75" customHeight="1" s="24">
      <c r="A178" s="6" t="n">
        <v>425</v>
      </c>
      <c r="B178" s="6" t="inlineStr">
        <is>
          <t>Ludivine</t>
        </is>
      </c>
      <c r="C178" s="6" t="inlineStr">
        <is>
          <t>RIZZON</t>
        </is>
      </c>
      <c r="D178" s="6" t="n">
        <v>2023</v>
      </c>
      <c r="E178" s="6" t="inlineStr">
        <is>
          <t>RH</t>
        </is>
      </c>
      <c r="F178" s="6" t="inlineStr">
        <is>
          <t>Bénévole</t>
        </is>
      </c>
      <c r="G178" s="6" t="inlineStr">
        <is>
          <t>2023-06-21</t>
        </is>
      </c>
      <c r="H178" s="6" t="inlineStr">
        <is>
          <t>2023-12-22</t>
        </is>
      </c>
      <c r="I178" s="6" t="inlineStr">
        <is>
          <t>Alumni gratuit</t>
        </is>
      </c>
      <c r="J178" s="10" t="n"/>
      <c r="K178" s="10" t="n"/>
      <c r="L178" s="10" t="n"/>
      <c r="M178" s="10" t="n"/>
      <c r="N178" s="10" t="n"/>
      <c r="O178" s="10" t="n"/>
      <c r="P178" s="10" t="n"/>
      <c r="Q178" s="10" t="inlineStr">
        <is>
          <t>⬜ À enrichir</t>
        </is>
      </c>
      <c r="R178" s="10" t="n"/>
    </row>
    <row r="179" hidden="1" ht="15.75" customHeight="1" s="24">
      <c r="A179" s="6" t="n">
        <v>427</v>
      </c>
      <c r="B179" s="6" t="inlineStr">
        <is>
          <t>Denys</t>
        </is>
      </c>
      <c r="C179" s="6" t="inlineStr">
        <is>
          <t>ROSSIER</t>
        </is>
      </c>
      <c r="D179" s="6" t="n">
        <v>2023</v>
      </c>
      <c r="E179" s="6" t="inlineStr">
        <is>
          <t>PAS DE TSC</t>
        </is>
      </c>
      <c r="F179" s="6" t="n"/>
      <c r="G179" s="6" t="inlineStr">
        <is>
          <t>2023-02-20</t>
        </is>
      </c>
      <c r="H179" s="6" t="inlineStr">
        <is>
          <t>2023-08-18</t>
        </is>
      </c>
      <c r="I179" s="6" t="n"/>
      <c r="J179" s="10" t="n"/>
      <c r="K179" s="10" t="n"/>
      <c r="L179" s="10" t="n"/>
      <c r="M179" s="10" t="n"/>
      <c r="N179" s="10" t="n"/>
      <c r="O179" s="10" t="n"/>
      <c r="P179" s="10" t="n"/>
      <c r="Q179" s="10" t="inlineStr">
        <is>
          <t>⬜ À enrichir</t>
        </is>
      </c>
      <c r="R179" s="10" t="n"/>
    </row>
    <row r="180" hidden="1" ht="15.75" customHeight="1" s="24">
      <c r="A180" s="6" t="n">
        <v>432</v>
      </c>
      <c r="B180" s="6" t="inlineStr">
        <is>
          <t>Pia</t>
        </is>
      </c>
      <c r="C180" s="6" t="inlineStr">
        <is>
          <t>Ranaivojoelina</t>
        </is>
      </c>
      <c r="D180" s="6" t="n">
        <v>2023</v>
      </c>
      <c r="E180" s="6" t="inlineStr">
        <is>
          <t>IT</t>
        </is>
      </c>
      <c r="F180" s="6" t="inlineStr">
        <is>
          <t>Conventioné</t>
        </is>
      </c>
      <c r="G180" s="6" t="inlineStr">
        <is>
          <t>2023-03-21</t>
        </is>
      </c>
      <c r="H180" s="6" t="inlineStr">
        <is>
          <t>2023-06-23</t>
        </is>
      </c>
      <c r="I180" s="6" t="n"/>
      <c r="J180" s="10" t="n"/>
      <c r="K180" s="10" t="n"/>
      <c r="L180" s="10" t="n"/>
      <c r="M180" s="10" t="n"/>
      <c r="N180" s="10" t="n"/>
      <c r="O180" s="10" t="n"/>
      <c r="P180" s="10" t="n"/>
      <c r="Q180" s="10" t="inlineStr">
        <is>
          <t>⬜ À enrichir</t>
        </is>
      </c>
      <c r="R180" s="10" t="n"/>
    </row>
    <row r="181" hidden="1" ht="15.75" customHeight="1" s="24">
      <c r="A181" s="6" t="n">
        <v>433</v>
      </c>
      <c r="B181" s="6" t="inlineStr">
        <is>
          <t>Amar</t>
        </is>
      </c>
      <c r="C181" s="6" t="inlineStr">
        <is>
          <t>SADJI</t>
        </is>
      </c>
      <c r="D181" s="6" t="n">
        <v>2023</v>
      </c>
      <c r="E181" s="6" t="inlineStr">
        <is>
          <t>Analyse SC/ GCC</t>
        </is>
      </c>
      <c r="F181" s="6" t="inlineStr">
        <is>
          <t>Conventioné</t>
        </is>
      </c>
      <c r="G181" s="6" t="inlineStr">
        <is>
          <t>2023-05-30</t>
        </is>
      </c>
      <c r="H181" s="6" t="inlineStr">
        <is>
          <t>2023-09-30</t>
        </is>
      </c>
      <c r="I181" s="6" t="n"/>
      <c r="J181" s="10" t="n"/>
      <c r="K181" s="10" t="n"/>
      <c r="L181" s="10" t="n"/>
      <c r="M181" s="10" t="n"/>
      <c r="N181" s="10" t="n"/>
      <c r="O181" s="10" t="n"/>
      <c r="P181" s="10" t="n"/>
      <c r="Q181" s="10" t="inlineStr">
        <is>
          <t>⬜ À enrichir</t>
        </is>
      </c>
      <c r="R181" s="10" t="n"/>
    </row>
    <row r="182" hidden="1" ht="15.75" customHeight="1" s="24">
      <c r="A182" s="6" t="n">
        <v>434</v>
      </c>
      <c r="B182" s="6" t="inlineStr">
        <is>
          <t>Jérome</t>
        </is>
      </c>
      <c r="C182" s="6" t="inlineStr">
        <is>
          <t>SAGBO BOTON</t>
        </is>
      </c>
      <c r="D182" s="6" t="n">
        <v>2023</v>
      </c>
      <c r="E182" s="6" t="inlineStr">
        <is>
          <t>GCBO/Budget</t>
        </is>
      </c>
      <c r="F182" s="6" t="inlineStr">
        <is>
          <t>Bénévole</t>
        </is>
      </c>
      <c r="G182" s="6" t="inlineStr">
        <is>
          <t>2022-09-27</t>
        </is>
      </c>
      <c r="H182" s="6" t="inlineStr">
        <is>
          <t>2023-04-14</t>
        </is>
      </c>
      <c r="I182" s="6" t="n"/>
      <c r="J182" s="10" t="n"/>
      <c r="K182" s="10" t="n"/>
      <c r="L182" s="10" t="n"/>
      <c r="M182" s="10" t="n"/>
      <c r="N182" s="10" t="n"/>
      <c r="O182" s="10" t="n"/>
      <c r="P182" s="10" t="n"/>
      <c r="Q182" s="10" t="inlineStr">
        <is>
          <t>⬜ À enrichir</t>
        </is>
      </c>
      <c r="R182" s="10" t="n"/>
    </row>
    <row r="183" hidden="1" ht="15.75" customHeight="1" s="24">
      <c r="A183" s="6" t="n">
        <v>435</v>
      </c>
      <c r="B183" s="6" t="inlineStr">
        <is>
          <t>Dounia</t>
        </is>
      </c>
      <c r="C183" s="6" t="inlineStr">
        <is>
          <t>SAIFI</t>
        </is>
      </c>
      <c r="D183" s="6" t="n">
        <v>2023</v>
      </c>
      <c r="E183" s="6" t="inlineStr">
        <is>
          <t>RH</t>
        </is>
      </c>
      <c r="F183" s="6" t="inlineStr">
        <is>
          <t>Bénévole</t>
        </is>
      </c>
      <c r="G183" s="6" t="inlineStr">
        <is>
          <t>2023-01-18</t>
        </is>
      </c>
      <c r="H183" s="6" t="inlineStr">
        <is>
          <t>2023-07-20</t>
        </is>
      </c>
      <c r="I183" s="6" t="n"/>
      <c r="J183" s="10" t="n"/>
      <c r="K183" s="10" t="n"/>
      <c r="L183" s="10" t="n"/>
      <c r="M183" s="10" t="n"/>
      <c r="N183" s="10" t="n"/>
      <c r="O183" s="10" t="n"/>
      <c r="P183" s="10" t="n"/>
      <c r="Q183" s="10" t="inlineStr">
        <is>
          <t>⬜ À enrichir</t>
        </is>
      </c>
      <c r="R183" s="10" t="n"/>
    </row>
    <row r="184" hidden="1" ht="15.75" customHeight="1" s="24">
      <c r="A184" s="6" t="n">
        <v>444</v>
      </c>
      <c r="B184" s="6" t="inlineStr">
        <is>
          <t>Asma</t>
        </is>
      </c>
      <c r="C184" s="6" t="inlineStr">
        <is>
          <t>SAYED</t>
        </is>
      </c>
      <c r="D184" s="6" t="n">
        <v>2023</v>
      </c>
      <c r="E184" s="6" t="inlineStr">
        <is>
          <t>Statistiques/ PAC</t>
        </is>
      </c>
      <c r="F184" s="6" t="inlineStr">
        <is>
          <t>Bénévole</t>
        </is>
      </c>
      <c r="G184" s="6" t="inlineStr">
        <is>
          <t>2023-10-30</t>
        </is>
      </c>
      <c r="H184" s="6" t="inlineStr">
        <is>
          <t>2024-05-24</t>
        </is>
      </c>
      <c r="I184" s="6" t="n"/>
      <c r="J184" s="10" t="n"/>
      <c r="K184" s="10" t="n"/>
      <c r="L184" s="10" t="n"/>
      <c r="M184" s="10" t="n"/>
      <c r="N184" s="10" t="n"/>
      <c r="O184" s="10" t="n"/>
      <c r="P184" s="10" t="n"/>
      <c r="Q184" s="10" t="inlineStr">
        <is>
          <t>⬜ À enrichir</t>
        </is>
      </c>
      <c r="R184" s="10" t="n"/>
    </row>
    <row r="185" hidden="1" ht="15.75" customHeight="1" s="24">
      <c r="A185" s="6" t="n">
        <v>446</v>
      </c>
      <c r="B185" s="6" t="inlineStr">
        <is>
          <t>Loïc</t>
        </is>
      </c>
      <c r="C185" s="6" t="inlineStr">
        <is>
          <t>SEGUIN</t>
        </is>
      </c>
      <c r="D185" s="6" t="n">
        <v>2023</v>
      </c>
      <c r="E185" s="6" t="inlineStr">
        <is>
          <t>CM/ Branding/ Partenariat</t>
        </is>
      </c>
      <c r="F185" s="6" t="inlineStr">
        <is>
          <t>Conventioné</t>
        </is>
      </c>
      <c r="G185" s="6" t="inlineStr">
        <is>
          <t>2023-01-24</t>
        </is>
      </c>
      <c r="H185" s="6" t="inlineStr">
        <is>
          <t>2023-03-31</t>
        </is>
      </c>
      <c r="I185" s="6" t="n"/>
      <c r="J185" s="10" t="n"/>
      <c r="K185" s="10" t="n"/>
      <c r="L185" s="10" t="n"/>
      <c r="M185" s="10" t="n"/>
      <c r="N185" s="10" t="n"/>
      <c r="O185" s="10" t="n"/>
      <c r="P185" s="10" t="n"/>
      <c r="Q185" s="10" t="inlineStr">
        <is>
          <t>⬜ À enrichir</t>
        </is>
      </c>
      <c r="R185" s="10" t="n"/>
    </row>
    <row r="186" hidden="1" ht="15.75" customHeight="1" s="24">
      <c r="A186" s="6" t="n">
        <v>449</v>
      </c>
      <c r="B186" s="6" t="inlineStr">
        <is>
          <t>Eliot</t>
        </is>
      </c>
      <c r="C186" s="6" t="inlineStr">
        <is>
          <t>SHABIJA</t>
        </is>
      </c>
      <c r="D186" s="6" t="n">
        <v>2023</v>
      </c>
      <c r="E186" s="6" t="inlineStr">
        <is>
          <t>RH</t>
        </is>
      </c>
      <c r="F186" s="6" t="inlineStr">
        <is>
          <t>Bénévole</t>
        </is>
      </c>
      <c r="G186" s="6" t="inlineStr">
        <is>
          <t>2022-08-31</t>
        </is>
      </c>
      <c r="H186" s="6" t="inlineStr">
        <is>
          <t>2023-03-31</t>
        </is>
      </c>
      <c r="I186" s="6" t="n"/>
      <c r="J186" s="10" t="n"/>
      <c r="K186" s="10" t="n"/>
      <c r="L186" s="10" t="n"/>
      <c r="M186" s="10" t="n"/>
      <c r="N186" s="10" t="n"/>
      <c r="O186" s="10" t="n"/>
      <c r="P186" s="10" t="n"/>
      <c r="Q186" s="10" t="inlineStr">
        <is>
          <t>⬜ À enrichir</t>
        </is>
      </c>
      <c r="R186" s="10" t="n"/>
    </row>
    <row r="187" hidden="1" ht="15.75" customHeight="1" s="24">
      <c r="A187" s="6" t="n">
        <v>451</v>
      </c>
      <c r="B187" s="6" t="inlineStr">
        <is>
          <t>Bathily</t>
        </is>
      </c>
      <c r="C187" s="6" t="inlineStr">
        <is>
          <t>SILAMARHA</t>
        </is>
      </c>
      <c r="D187" s="6" t="n">
        <v>2023</v>
      </c>
      <c r="E187" s="6" t="inlineStr">
        <is>
          <t>Design</t>
        </is>
      </c>
      <c r="F187" s="6" t="inlineStr">
        <is>
          <t>Bénévole</t>
        </is>
      </c>
      <c r="G187" s="6" t="inlineStr">
        <is>
          <t>2023-08-03</t>
        </is>
      </c>
      <c r="H187" s="6" t="inlineStr">
        <is>
          <t>2023-11-03</t>
        </is>
      </c>
      <c r="I187" s="6" t="n"/>
      <c r="J187" s="10" t="n"/>
      <c r="K187" s="10" t="n"/>
      <c r="L187" s="10" t="n"/>
      <c r="M187" s="10" t="n"/>
      <c r="N187" s="10" t="n"/>
      <c r="O187" s="10" t="n"/>
      <c r="P187" s="10" t="n"/>
      <c r="Q187" s="10" t="inlineStr">
        <is>
          <t>⬜ À enrichir</t>
        </is>
      </c>
      <c r="R187" s="10" t="n"/>
    </row>
    <row r="188" hidden="1" ht="15.75" customHeight="1" s="24">
      <c r="A188" s="6" t="n">
        <v>453</v>
      </c>
      <c r="B188" s="6" t="inlineStr">
        <is>
          <t>Axel</t>
        </is>
      </c>
      <c r="C188" s="6" t="inlineStr">
        <is>
          <t>SILVESTRE- SIAZ</t>
        </is>
      </c>
      <c r="D188" s="6" t="n">
        <v>2023</v>
      </c>
      <c r="E188" s="6" t="inlineStr">
        <is>
          <t>Coach</t>
        </is>
      </c>
      <c r="F188" s="6" t="inlineStr">
        <is>
          <t>Bénévole</t>
        </is>
      </c>
      <c r="G188" s="6" t="inlineStr">
        <is>
          <t>2023-11-20</t>
        </is>
      </c>
      <c r="H188" s="6" t="inlineStr">
        <is>
          <t>2024-06-07</t>
        </is>
      </c>
      <c r="I188" s="6" t="n"/>
      <c r="J188" s="10" t="n"/>
      <c r="K188" s="10" t="n"/>
      <c r="L188" s="10" t="n"/>
      <c r="M188" s="10" t="n"/>
      <c r="N188" s="10" t="n"/>
      <c r="O188" s="10" t="n"/>
      <c r="P188" s="10" t="n"/>
      <c r="Q188" s="10" t="inlineStr">
        <is>
          <t>⬜ À enrichir</t>
        </is>
      </c>
      <c r="R188" s="10" t="n"/>
    </row>
    <row r="189" hidden="1" ht="15.75" customHeight="1" s="24">
      <c r="A189" s="6" t="n">
        <v>454</v>
      </c>
      <c r="B189" s="6" t="inlineStr">
        <is>
          <t>Yasmin</t>
        </is>
      </c>
      <c r="C189" s="6" t="inlineStr">
        <is>
          <t>SLAMA</t>
        </is>
      </c>
      <c r="D189" s="6" t="n">
        <v>2023</v>
      </c>
      <c r="E189" s="6" t="inlineStr">
        <is>
          <t>RH</t>
        </is>
      </c>
      <c r="F189" s="6" t="n"/>
      <c r="G189" s="6" t="inlineStr">
        <is>
          <t>2021-11-10</t>
        </is>
      </c>
      <c r="H189" s="6" t="inlineStr">
        <is>
          <t>2022-05-31</t>
        </is>
      </c>
      <c r="I189" s="6" t="n"/>
      <c r="J189" s="10" t="n"/>
      <c r="K189" s="10" t="n"/>
      <c r="L189" s="10" t="n"/>
      <c r="M189" s="10" t="n"/>
      <c r="N189" s="10" t="n"/>
      <c r="O189" s="10" t="n"/>
      <c r="P189" s="10" t="n"/>
      <c r="Q189" s="10" t="inlineStr">
        <is>
          <t>⬜ À enrichir</t>
        </is>
      </c>
      <c r="R189" s="10" t="n"/>
    </row>
    <row r="190" hidden="1" ht="15.75" customHeight="1" s="24">
      <c r="A190" s="6" t="n">
        <v>458</v>
      </c>
      <c r="B190" s="6" t="inlineStr">
        <is>
          <t>Ksenya</t>
        </is>
      </c>
      <c r="C190" s="6" t="inlineStr">
        <is>
          <t>STAVROVA</t>
        </is>
      </c>
      <c r="D190" s="6" t="n">
        <v>2023</v>
      </c>
      <c r="E190" s="6" t="inlineStr">
        <is>
          <t>CM/ GES</t>
        </is>
      </c>
      <c r="F190" s="6" t="inlineStr">
        <is>
          <t>Conventioné</t>
        </is>
      </c>
      <c r="G190" s="6" t="inlineStr">
        <is>
          <t>2022-11-10</t>
        </is>
      </c>
      <c r="H190" s="6" t="inlineStr">
        <is>
          <t>2023-06-02</t>
        </is>
      </c>
      <c r="I190" s="6" t="n"/>
      <c r="J190" s="10" t="n"/>
      <c r="K190" s="10" t="n"/>
      <c r="L190" s="10" t="n"/>
      <c r="M190" s="10" t="n"/>
      <c r="N190" s="10" t="n"/>
      <c r="O190" s="10" t="n"/>
      <c r="P190" s="10" t="n"/>
      <c r="Q190" s="10" t="inlineStr">
        <is>
          <t>⬜ À enrichir</t>
        </is>
      </c>
      <c r="R190" s="10" t="n"/>
    </row>
    <row r="191" hidden="1" ht="15.75" customHeight="1" s="24">
      <c r="A191" s="6" t="n">
        <v>470</v>
      </c>
      <c r="B191" s="6" t="inlineStr">
        <is>
          <t>Jinen</t>
        </is>
      </c>
      <c r="C191" s="6" t="inlineStr">
        <is>
          <t>TARCHOUN</t>
        </is>
      </c>
      <c r="D191" s="6" t="n">
        <v>2023</v>
      </c>
      <c r="E191" s="6" t="inlineStr">
        <is>
          <t xml:space="preserve">Eco conso/ Publication </t>
        </is>
      </c>
      <c r="F191" s="6" t="inlineStr">
        <is>
          <t>Bénévole</t>
        </is>
      </c>
      <c r="G191" s="6" t="inlineStr">
        <is>
          <t>2023-04-04</t>
        </is>
      </c>
      <c r="H191" s="6" t="inlineStr">
        <is>
          <t>2023-08-04</t>
        </is>
      </c>
      <c r="I191" s="6" t="n"/>
      <c r="J191" s="10" t="n"/>
      <c r="K191" s="10" t="n"/>
      <c r="L191" s="10" t="n"/>
      <c r="M191" s="10" t="n"/>
      <c r="N191" s="10" t="n"/>
      <c r="O191" s="10" t="n"/>
      <c r="P191" s="10" t="n"/>
      <c r="Q191" s="10" t="inlineStr">
        <is>
          <t>⬜ À enrichir</t>
        </is>
      </c>
      <c r="R191" s="10" t="n"/>
    </row>
    <row r="192" hidden="1" ht="15.75" customHeight="1" s="24">
      <c r="A192" s="6" t="n">
        <v>476</v>
      </c>
      <c r="B192" s="6" t="inlineStr">
        <is>
          <t>Christophe</t>
        </is>
      </c>
      <c r="C192" s="6" t="inlineStr">
        <is>
          <t>THIOU</t>
        </is>
      </c>
      <c r="D192" s="6" t="n">
        <v>2023</v>
      </c>
      <c r="E192" s="6" t="inlineStr">
        <is>
          <t>IT</t>
        </is>
      </c>
      <c r="F192" s="6" t="inlineStr">
        <is>
          <t>Conventioné</t>
        </is>
      </c>
      <c r="G192" s="6" t="inlineStr">
        <is>
          <t>2023-11-09</t>
        </is>
      </c>
      <c r="H192" s="6" t="inlineStr">
        <is>
          <t>2024-03-12</t>
        </is>
      </c>
      <c r="I192" s="6" t="n"/>
      <c r="J192" s="10" t="n"/>
      <c r="K192" s="10" t="n"/>
      <c r="L192" s="10" t="n"/>
      <c r="M192" s="10" t="n"/>
      <c r="N192" s="10" t="n"/>
      <c r="O192" s="10" t="n"/>
      <c r="P192" s="10" t="n"/>
      <c r="Q192" s="10" t="inlineStr">
        <is>
          <t>⬜ À enrichir</t>
        </is>
      </c>
      <c r="R192" s="10" t="n"/>
    </row>
    <row r="193" hidden="1" ht="15.75" customHeight="1" s="24">
      <c r="A193" s="6" t="n">
        <v>477</v>
      </c>
      <c r="B193" s="6" t="inlineStr">
        <is>
          <t>Fatima</t>
        </is>
      </c>
      <c r="C193" s="6" t="inlineStr">
        <is>
          <t>TIJJA</t>
        </is>
      </c>
      <c r="D193" s="6" t="n">
        <v>2023</v>
      </c>
      <c r="E193" s="6" t="inlineStr">
        <is>
          <t>Coach</t>
        </is>
      </c>
      <c r="F193" s="6" t="inlineStr">
        <is>
          <t>Bénévole</t>
        </is>
      </c>
      <c r="G193" s="6" t="inlineStr">
        <is>
          <t>2022-12-14</t>
        </is>
      </c>
      <c r="H193" s="6" t="inlineStr">
        <is>
          <t>2023-07-07</t>
        </is>
      </c>
      <c r="I193" s="6" t="n"/>
      <c r="J193" s="10" t="n"/>
      <c r="K193" s="10" t="n"/>
      <c r="L193" s="10" t="n"/>
      <c r="M193" s="10" t="n"/>
      <c r="N193" s="10" t="n"/>
      <c r="O193" s="10" t="n"/>
      <c r="P193" s="10" t="n"/>
      <c r="Q193" s="10" t="inlineStr">
        <is>
          <t>⬜ À enrichir</t>
        </is>
      </c>
      <c r="R193" s="10" t="n"/>
    </row>
    <row r="194" hidden="1" ht="15.75" customHeight="1" s="24">
      <c r="A194" s="6" t="n">
        <v>478</v>
      </c>
      <c r="B194" s="6" t="inlineStr">
        <is>
          <t>Alexandra Cristina</t>
        </is>
      </c>
      <c r="C194" s="6" t="inlineStr">
        <is>
          <t>TOMOSOIU</t>
        </is>
      </c>
      <c r="D194" s="6" t="n">
        <v>2023</v>
      </c>
      <c r="E194" s="6" t="inlineStr">
        <is>
          <t>RH</t>
        </is>
      </c>
      <c r="F194" s="6" t="inlineStr">
        <is>
          <t>Bénévole</t>
        </is>
      </c>
      <c r="G194" s="6" t="inlineStr">
        <is>
          <t>2023-10-11</t>
        </is>
      </c>
      <c r="H194" s="6" t="inlineStr">
        <is>
          <t>2024-03-04</t>
        </is>
      </c>
      <c r="I194" s="6" t="n"/>
      <c r="J194" s="10" t="n"/>
      <c r="K194" s="10" t="n"/>
      <c r="L194" s="10" t="n"/>
      <c r="M194" s="10" t="n"/>
      <c r="N194" s="10" t="n"/>
      <c r="O194" s="10" t="n"/>
      <c r="P194" s="10" t="n"/>
      <c r="Q194" s="10" t="inlineStr">
        <is>
          <t>⬜ À enrichir</t>
        </is>
      </c>
      <c r="R194" s="10" t="n"/>
    </row>
    <row r="195" hidden="1" ht="15.75" customHeight="1" s="24">
      <c r="A195" s="6" t="n">
        <v>480</v>
      </c>
      <c r="B195" s="6" t="inlineStr">
        <is>
          <t>Marie Laure</t>
        </is>
      </c>
      <c r="C195" s="6" t="inlineStr">
        <is>
          <t>TOURE</t>
        </is>
      </c>
      <c r="D195" s="6" t="n">
        <v>2023</v>
      </c>
      <c r="E195" s="6" t="inlineStr">
        <is>
          <t xml:space="preserve">Agriculture durable/ Eco conso scientifique </t>
        </is>
      </c>
      <c r="F195" s="6" t="inlineStr">
        <is>
          <t>Bénévole</t>
        </is>
      </c>
      <c r="G195" s="6" t="inlineStr">
        <is>
          <t>2023-07-03</t>
        </is>
      </c>
      <c r="H195" s="6" t="inlineStr">
        <is>
          <t>2023-09-08</t>
        </is>
      </c>
      <c r="I195" s="6" t="n"/>
      <c r="J195" s="10" t="n"/>
      <c r="K195" s="10" t="n"/>
      <c r="L195" s="10" t="n"/>
      <c r="M195" s="10" t="n"/>
      <c r="N195" s="10" t="n"/>
      <c r="O195" s="10" t="n"/>
      <c r="P195" s="10" t="n"/>
      <c r="Q195" s="10" t="inlineStr">
        <is>
          <t>⬜ À enrichir</t>
        </is>
      </c>
      <c r="R195" s="10" t="n"/>
    </row>
    <row r="196" hidden="1" ht="15.75" customHeight="1" s="24">
      <c r="A196" s="6" t="n">
        <v>483</v>
      </c>
      <c r="B196" s="6" t="inlineStr">
        <is>
          <t>Abdoulaye</t>
        </is>
      </c>
      <c r="C196" s="6" t="inlineStr">
        <is>
          <t>TRAORE</t>
        </is>
      </c>
      <c r="D196" s="6" t="n">
        <v>2023</v>
      </c>
      <c r="E196" s="6" t="inlineStr">
        <is>
          <t>Consultant GCC et SC</t>
        </is>
      </c>
      <c r="F196" s="6" t="inlineStr">
        <is>
          <t>Bénévole</t>
        </is>
      </c>
      <c r="G196" s="6" t="n"/>
      <c r="H196" s="6" t="n"/>
      <c r="I196" s="6" t="n"/>
      <c r="J196" s="10" t="n"/>
      <c r="K196" s="10" t="n"/>
      <c r="L196" s="10" t="n"/>
      <c r="M196" s="10" t="n"/>
      <c r="N196" s="10" t="n"/>
      <c r="O196" s="10" t="n"/>
      <c r="P196" s="10" t="n"/>
      <c r="Q196" s="10" t="inlineStr">
        <is>
          <t>⬜ À enrichir</t>
        </is>
      </c>
      <c r="R196" s="10" t="n"/>
    </row>
    <row r="197" hidden="1" ht="15.75" customHeight="1" s="24">
      <c r="A197" s="6" t="n">
        <v>487</v>
      </c>
      <c r="B197" s="6" t="inlineStr">
        <is>
          <t>Alina</t>
        </is>
      </c>
      <c r="C197" s="6" t="inlineStr">
        <is>
          <t>TVERDOKHLIB</t>
        </is>
      </c>
      <c r="D197" s="6" t="n">
        <v>2023</v>
      </c>
      <c r="E197" s="6" t="inlineStr">
        <is>
          <t>RH</t>
        </is>
      </c>
      <c r="F197" s="6" t="inlineStr">
        <is>
          <t>Bénévole</t>
        </is>
      </c>
      <c r="G197" s="6" t="inlineStr">
        <is>
          <t>2023-04-12</t>
        </is>
      </c>
      <c r="H197" s="6" t="inlineStr">
        <is>
          <t>2023-12-05</t>
        </is>
      </c>
      <c r="I197" s="6" t="n"/>
      <c r="J197" s="10" t="n"/>
      <c r="K197" s="10" t="n"/>
      <c r="L197" s="10" t="n"/>
      <c r="M197" s="10" t="n"/>
      <c r="N197" s="10" t="n"/>
      <c r="O197" s="10" t="n"/>
      <c r="P197" s="10" t="n"/>
      <c r="Q197" s="10" t="inlineStr">
        <is>
          <t>⬜ À enrichir</t>
        </is>
      </c>
      <c r="R197" s="10" t="n"/>
    </row>
    <row r="198" hidden="1" ht="15.75" customHeight="1" s="24">
      <c r="A198" s="6" t="n">
        <v>488</v>
      </c>
      <c r="B198" s="6" t="inlineStr">
        <is>
          <t>Aboubacar</t>
        </is>
      </c>
      <c r="C198" s="6" t="inlineStr">
        <is>
          <t>Tely Barry</t>
        </is>
      </c>
      <c r="D198" s="6" t="n">
        <v>2023</v>
      </c>
      <c r="E198" s="6" t="inlineStr">
        <is>
          <t>Formation interne et GCC</t>
        </is>
      </c>
      <c r="F198" s="6" t="inlineStr">
        <is>
          <t>Conventioné</t>
        </is>
      </c>
      <c r="G198" s="6" t="inlineStr">
        <is>
          <t>2023-03-20</t>
        </is>
      </c>
      <c r="H198" s="6" t="inlineStr">
        <is>
          <t>2023-09-23</t>
        </is>
      </c>
      <c r="I198" s="6" t="n"/>
      <c r="J198" s="10" t="n"/>
      <c r="K198" s="10" t="n"/>
      <c r="L198" s="10" t="n"/>
      <c r="M198" s="10" t="n"/>
      <c r="N198" s="10" t="n"/>
      <c r="O198" s="10" t="n"/>
      <c r="P198" s="10" t="n"/>
      <c r="Q198" s="10" t="inlineStr">
        <is>
          <t>⬜ À enrichir</t>
        </is>
      </c>
      <c r="R198" s="10" t="n"/>
    </row>
    <row r="199" hidden="1" ht="15.75" customHeight="1" s="24">
      <c r="A199" s="6" t="n">
        <v>489</v>
      </c>
      <c r="B199" s="6" t="inlineStr">
        <is>
          <t>Valérie</t>
        </is>
      </c>
      <c r="C199" s="6" t="inlineStr">
        <is>
          <t>Thöni</t>
        </is>
      </c>
      <c r="D199" s="6" t="n">
        <v>2023</v>
      </c>
      <c r="E199" s="6" t="inlineStr">
        <is>
          <t>Projet de recherche : mode durable labels/impacts</t>
        </is>
      </c>
      <c r="F199" s="6" t="inlineStr">
        <is>
          <t>Bénévole</t>
        </is>
      </c>
      <c r="G199" s="6" t="inlineStr">
        <is>
          <t>2023-09-04</t>
        </is>
      </c>
      <c r="H199" s="6" t="inlineStr">
        <is>
          <t>2024-03-29</t>
        </is>
      </c>
      <c r="I199" s="6" t="inlineStr">
        <is>
          <t>Non</t>
        </is>
      </c>
      <c r="J199" s="10" t="n"/>
      <c r="K199" s="10" t="n"/>
      <c r="L199" s="10" t="n"/>
      <c r="M199" s="10" t="n"/>
      <c r="N199" s="10" t="n"/>
      <c r="O199" s="10" t="n"/>
      <c r="P199" s="10" t="n"/>
      <c r="Q199" s="10" t="inlineStr">
        <is>
          <t>⬜ À enrichir</t>
        </is>
      </c>
      <c r="R199" s="10" t="n"/>
    </row>
    <row r="200" hidden="1" ht="15.75" customHeight="1" s="24">
      <c r="A200" s="6" t="n">
        <v>490</v>
      </c>
      <c r="B200" s="6" t="inlineStr">
        <is>
          <t>Lucile</t>
        </is>
      </c>
      <c r="C200" s="6" t="inlineStr">
        <is>
          <t>VAISSEAU</t>
        </is>
      </c>
      <c r="D200" s="6" t="n">
        <v>2023</v>
      </c>
      <c r="E200" s="6" t="inlineStr">
        <is>
          <t>Coach</t>
        </is>
      </c>
      <c r="F200" s="6" t="inlineStr">
        <is>
          <t>Bénévole</t>
        </is>
      </c>
      <c r="G200" s="6" t="inlineStr">
        <is>
          <t>2022-08-24</t>
        </is>
      </c>
      <c r="H200" s="6" t="inlineStr">
        <is>
          <t>2022-11-25</t>
        </is>
      </c>
      <c r="I200" s="6" t="n"/>
      <c r="J200" s="10" t="n"/>
      <c r="K200" s="10" t="n"/>
      <c r="L200" s="10" t="n"/>
      <c r="M200" s="10" t="n"/>
      <c r="N200" s="10" t="n"/>
      <c r="O200" s="10" t="n"/>
      <c r="P200" s="10" t="n"/>
      <c r="Q200" s="10" t="inlineStr">
        <is>
          <t>⬜ À enrichir</t>
        </is>
      </c>
      <c r="R200" s="10" t="n"/>
    </row>
    <row r="201" hidden="1" ht="15.75" customHeight="1" s="24">
      <c r="A201" s="6" t="n">
        <v>495</v>
      </c>
      <c r="B201" s="6" t="inlineStr">
        <is>
          <t>Line</t>
        </is>
      </c>
      <c r="C201" s="6" t="inlineStr">
        <is>
          <t>WEBER</t>
        </is>
      </c>
      <c r="D201" s="6" t="n">
        <v>2023</v>
      </c>
      <c r="E201" s="6" t="inlineStr">
        <is>
          <t>RH</t>
        </is>
      </c>
      <c r="F201" s="6" t="inlineStr">
        <is>
          <t>Bénévole</t>
        </is>
      </c>
      <c r="G201" s="6" t="inlineStr">
        <is>
          <t>2023-06-14</t>
        </is>
      </c>
      <c r="H201" s="6" t="inlineStr">
        <is>
          <t>2023-11-17</t>
        </is>
      </c>
      <c r="I201" s="6" t="n"/>
      <c r="J201" s="10" t="n"/>
      <c r="K201" s="10" t="n"/>
      <c r="L201" s="10" t="n"/>
      <c r="M201" s="10" t="n"/>
      <c r="N201" s="10" t="n"/>
      <c r="O201" s="10" t="n"/>
      <c r="P201" s="10" t="n"/>
      <c r="Q201" s="10" t="inlineStr">
        <is>
          <t>⬜ À enrichir</t>
        </is>
      </c>
      <c r="R201" s="10" t="n"/>
    </row>
    <row r="202" hidden="1" ht="15.75" customHeight="1" s="24">
      <c r="A202" s="6" t="n">
        <v>497</v>
      </c>
      <c r="B202" s="6" t="inlineStr">
        <is>
          <t>Claudia</t>
        </is>
      </c>
      <c r="C202" s="6" t="inlineStr">
        <is>
          <t>WIESE</t>
        </is>
      </c>
      <c r="D202" s="6" t="n">
        <v>2023</v>
      </c>
      <c r="E202" s="6" t="inlineStr">
        <is>
          <t xml:space="preserve">Smart cities </t>
        </is>
      </c>
      <c r="F202" s="6" t="inlineStr">
        <is>
          <t>Bénévole</t>
        </is>
      </c>
      <c r="G202" s="6" t="inlineStr">
        <is>
          <t>2023-10-10</t>
        </is>
      </c>
      <c r="H202" s="6" t="inlineStr">
        <is>
          <t>2024-05-03</t>
        </is>
      </c>
      <c r="I202" s="6" t="n"/>
      <c r="J202" s="10" t="n"/>
      <c r="K202" s="10" t="n"/>
      <c r="L202" s="10" t="n"/>
      <c r="M202" s="10" t="n"/>
      <c r="N202" s="10" t="n"/>
      <c r="O202" s="10" t="n"/>
      <c r="P202" s="10" t="n"/>
      <c r="Q202" s="10" t="inlineStr">
        <is>
          <t>⬜ À enrichir</t>
        </is>
      </c>
      <c r="R202" s="10" t="n"/>
    </row>
    <row r="203" hidden="1" ht="15.75" customHeight="1" s="24">
      <c r="A203" s="6" t="n">
        <v>498</v>
      </c>
      <c r="B203" s="6" t="inlineStr">
        <is>
          <t>Danie</t>
        </is>
      </c>
      <c r="C203" s="6" t="inlineStr">
        <is>
          <t>WILSON</t>
        </is>
      </c>
      <c r="D203" s="6" t="n">
        <v>2023</v>
      </c>
      <c r="E203" s="6" t="inlineStr">
        <is>
          <t>GCBO/Budget</t>
        </is>
      </c>
      <c r="F203" s="6" t="inlineStr">
        <is>
          <t>Bénévole</t>
        </is>
      </c>
      <c r="G203" s="6" t="inlineStr">
        <is>
          <t>2023-10-24</t>
        </is>
      </c>
      <c r="H203" s="6" t="inlineStr">
        <is>
          <t>2024-05-17</t>
        </is>
      </c>
      <c r="I203" s="6" t="n"/>
      <c r="J203" s="10" t="n"/>
      <c r="K203" s="10" t="n"/>
      <c r="L203" s="10" t="n"/>
      <c r="M203" s="10" t="n"/>
      <c r="N203" s="10" t="n"/>
      <c r="O203" s="10" t="n"/>
      <c r="P203" s="10" t="n"/>
      <c r="Q203" s="10" t="inlineStr">
        <is>
          <t>⬜ À enrichir</t>
        </is>
      </c>
      <c r="R203" s="10" t="n"/>
    </row>
    <row r="204" hidden="1" ht="15.75" customHeight="1" s="24">
      <c r="A204" s="6" t="n">
        <v>504</v>
      </c>
      <c r="B204" s="6" t="inlineStr">
        <is>
          <t>Chaimaa</t>
        </is>
      </c>
      <c r="C204" s="6" t="inlineStr">
        <is>
          <t>ZAHER</t>
        </is>
      </c>
      <c r="D204" s="6" t="n">
        <v>2023</v>
      </c>
      <c r="E204" s="6" t="inlineStr">
        <is>
          <t>GES/ Fundraising</t>
        </is>
      </c>
      <c r="F204" s="6" t="inlineStr">
        <is>
          <t>Bénévole</t>
        </is>
      </c>
      <c r="G204" s="6" t="inlineStr">
        <is>
          <t>2023-08-21</t>
        </is>
      </c>
      <c r="H204" s="6" t="inlineStr">
        <is>
          <t>2023-11-24</t>
        </is>
      </c>
      <c r="I204" s="6" t="n"/>
      <c r="J204" s="10" t="n"/>
      <c r="K204" s="10" t="n"/>
      <c r="L204" s="10" t="n"/>
      <c r="M204" s="10" t="n"/>
      <c r="N204" s="10" t="n"/>
      <c r="O204" s="10" t="n"/>
      <c r="P204" s="10" t="n"/>
      <c r="Q204" s="10" t="inlineStr">
        <is>
          <t>⬜ À enrichir</t>
        </is>
      </c>
      <c r="R204" s="10" t="n"/>
    </row>
    <row r="205" hidden="1" ht="15.75" customHeight="1" s="24">
      <c r="A205" s="6" t="n">
        <v>505</v>
      </c>
      <c r="B205" s="6" t="inlineStr">
        <is>
          <t>Michael</t>
        </is>
      </c>
      <c r="C205" s="6" t="inlineStr">
        <is>
          <t>ZAPPALA</t>
        </is>
      </c>
      <c r="D205" s="6" t="n">
        <v>2023</v>
      </c>
      <c r="E205" s="6" t="inlineStr">
        <is>
          <t>Coach</t>
        </is>
      </c>
      <c r="F205" s="6" t="inlineStr">
        <is>
          <t>Conventioné</t>
        </is>
      </c>
      <c r="G205" s="6" t="inlineStr">
        <is>
          <t>2023-06-19</t>
        </is>
      </c>
      <c r="H205" s="6" t="inlineStr">
        <is>
          <t>2023-09-15</t>
        </is>
      </c>
      <c r="I205" s="6" t="n"/>
      <c r="J205" s="10" t="n"/>
      <c r="K205" s="10" t="n"/>
      <c r="L205" s="10" t="n"/>
      <c r="M205" s="10" t="n"/>
      <c r="N205" s="10" t="n"/>
      <c r="O205" s="10" t="n"/>
      <c r="P205" s="10" t="n"/>
      <c r="Q205" s="10" t="inlineStr">
        <is>
          <t>⬜ À enrichir</t>
        </is>
      </c>
      <c r="R205" s="10" t="n"/>
    </row>
    <row r="206" hidden="1" ht="15.75" customHeight="1" s="24">
      <c r="A206" s="6" t="n">
        <v>509</v>
      </c>
      <c r="B206" s="6" t="inlineStr">
        <is>
          <t>Noémie</t>
        </is>
      </c>
      <c r="C206" s="6" t="inlineStr">
        <is>
          <t>ZUFFREY</t>
        </is>
      </c>
      <c r="D206" s="6" t="n">
        <v>2023</v>
      </c>
      <c r="E206" s="6" t="inlineStr">
        <is>
          <t>Coach</t>
        </is>
      </c>
      <c r="F206" s="6" t="inlineStr">
        <is>
          <t>Conventioné</t>
        </is>
      </c>
      <c r="G206" s="6" t="inlineStr">
        <is>
          <t>2022-10-26</t>
        </is>
      </c>
      <c r="H206" s="6" t="inlineStr">
        <is>
          <t>2023-05-19</t>
        </is>
      </c>
      <c r="I206" s="6" t="n"/>
      <c r="J206" s="10" t="n"/>
      <c r="K206" s="10" t="n"/>
      <c r="L206" s="10" t="n"/>
      <c r="M206" s="10" t="n"/>
      <c r="N206" s="10" t="n"/>
      <c r="O206" s="10" t="n"/>
      <c r="P206" s="10" t="n"/>
      <c r="Q206" s="10" t="inlineStr">
        <is>
          <t>⬜ À enrichir</t>
        </is>
      </c>
      <c r="R206" s="10" t="n"/>
    </row>
    <row r="207" ht="15.75" customHeight="1" s="24">
      <c r="A207" s="6" t="n">
        <v>1</v>
      </c>
      <c r="B207" s="6" t="inlineStr">
        <is>
          <t>Angela</t>
        </is>
      </c>
      <c r="C207" s="6" t="inlineStr">
        <is>
          <t>ABANKWA</t>
        </is>
      </c>
      <c r="D207" s="6" t="n">
        <v>2024</v>
      </c>
      <c r="E207" s="6" t="inlineStr">
        <is>
          <t>RH</t>
        </is>
      </c>
      <c r="F207" s="6" t="inlineStr">
        <is>
          <t>Bénévole</t>
        </is>
      </c>
      <c r="G207" s="6" t="inlineStr">
        <is>
          <t>2022-10-19</t>
        </is>
      </c>
      <c r="H207" s="6" t="inlineStr">
        <is>
          <t>2023-06-19</t>
        </is>
      </c>
      <c r="I207" s="6" t="n"/>
      <c r="J207" s="10" t="n"/>
      <c r="K207" s="14" t="inlineStr">
        <is>
          <t>Vendeuse</t>
        </is>
      </c>
      <c r="L207" s="15" t="inlineStr">
        <is>
          <t>KOOKAI Australia</t>
        </is>
      </c>
      <c r="M207" s="15" t="inlineStr">
        <is>
          <t>Genève</t>
        </is>
      </c>
      <c r="N207" s="10" t="inlineStr">
        <is>
          <t>Suisse</t>
        </is>
      </c>
      <c r="O207" s="15" t="inlineStr">
        <is>
          <t>Entreprise privée</t>
        </is>
      </c>
      <c r="P207" s="11" t="inlineStr">
        <is>
          <t>https://www.linkedin.com/in/angela-abankwa-76991458/</t>
        </is>
      </c>
      <c r="Q207" s="10" t="inlineStr">
        <is>
          <t>✅ Enrichi</t>
        </is>
      </c>
      <c r="R207" s="14" t="inlineStr">
        <is>
          <t>⭐ VEDETTE</t>
        </is>
      </c>
    </row>
    <row r="208" ht="15.75" customHeight="1" s="24">
      <c r="A208" s="6" t="n">
        <v>4</v>
      </c>
      <c r="B208" s="6" t="inlineStr">
        <is>
          <t>Asmaà</t>
        </is>
      </c>
      <c r="C208" s="6" t="inlineStr">
        <is>
          <t>ABIDERRAHMANE</t>
        </is>
      </c>
      <c r="D208" s="6" t="n">
        <v>2024</v>
      </c>
      <c r="E208" s="6" t="inlineStr">
        <is>
          <t>IT</t>
        </is>
      </c>
      <c r="F208" s="6" t="inlineStr">
        <is>
          <t>Conventioné</t>
        </is>
      </c>
      <c r="G208" s="6" t="inlineStr">
        <is>
          <t>2024-08-12</t>
        </is>
      </c>
      <c r="H208" s="6" t="inlineStr">
        <is>
          <t>2024-10-18</t>
        </is>
      </c>
      <c r="I208" s="6" t="n"/>
      <c r="J208" s="10" t="n"/>
      <c r="K208" s="14" t="inlineStr">
        <is>
          <t>Consultante Experte en Cybersécurité</t>
        </is>
      </c>
      <c r="L208" s="15" t="inlineStr">
        <is>
          <t>IT Akademy</t>
        </is>
      </c>
      <c r="M208" s="10" t="inlineStr">
        <is>
          <t>Lyon</t>
        </is>
      </c>
      <c r="N208" s="15" t="inlineStr">
        <is>
          <t>France</t>
        </is>
      </c>
      <c r="O208" s="15" t="inlineStr">
        <is>
          <t>Tech / Data</t>
        </is>
      </c>
      <c r="P208" s="12" t="inlineStr">
        <is>
          <t>https://www.linkedin.com/in/asmaa-abiderrahmane/</t>
        </is>
      </c>
      <c r="Q208" s="10" t="inlineStr">
        <is>
          <t>✅ Enrichi</t>
        </is>
      </c>
      <c r="R208" s="13" t="n"/>
    </row>
    <row r="209" ht="15.75" customHeight="1" s="24">
      <c r="A209" s="6" t="n">
        <v>5</v>
      </c>
      <c r="B209" s="6" t="inlineStr">
        <is>
          <t>Andre</t>
        </is>
      </c>
      <c r="C209" s="6" t="inlineStr">
        <is>
          <t>ABLI</t>
        </is>
      </c>
      <c r="D209" s="6" t="n">
        <v>2024</v>
      </c>
      <c r="E209" s="6" t="inlineStr">
        <is>
          <t>Juridique</t>
        </is>
      </c>
      <c r="F209" s="6" t="inlineStr">
        <is>
          <t>Bénévole</t>
        </is>
      </c>
      <c r="G209" s="6" t="inlineStr">
        <is>
          <t>2024-03-04</t>
        </is>
      </c>
      <c r="H209" s="6" t="inlineStr">
        <is>
          <t>2024-08-31</t>
        </is>
      </c>
      <c r="I209" s="6" t="n"/>
      <c r="J209" s="10" t="n"/>
      <c r="K209" s="14" t="inlineStr">
        <is>
          <t>Legal &amp; Compliance Officer junior</t>
        </is>
      </c>
      <c r="L209" s="10" t="n"/>
      <c r="M209" s="15" t="inlineStr">
        <is>
          <t>Luxembourg</t>
        </is>
      </c>
      <c r="N209" s="15" t="inlineStr">
        <is>
          <t>Autre</t>
        </is>
      </c>
      <c r="O209" s="15" t="inlineStr">
        <is>
          <t>Conseil / Audit</t>
        </is>
      </c>
      <c r="P209" s="12" t="inlineStr">
        <is>
          <t>https://www.linkedin.com/in/andr%C3%A9-alexandre-abli-1284b2198/</t>
        </is>
      </c>
      <c r="Q209" s="10" t="inlineStr">
        <is>
          <t>✅ Enrichi</t>
        </is>
      </c>
      <c r="R209" s="14" t="inlineStr">
        <is>
          <t>Luxembourg - également activité indépendante à Orléans, France</t>
        </is>
      </c>
    </row>
    <row r="210" ht="15.75" customHeight="1" s="24">
      <c r="A210" s="6" t="n">
        <v>11</v>
      </c>
      <c r="B210" s="6" t="inlineStr">
        <is>
          <t>Johanna</t>
        </is>
      </c>
      <c r="C210" s="6" t="inlineStr">
        <is>
          <t>AEBI</t>
        </is>
      </c>
      <c r="D210" s="6" t="n">
        <v>2024</v>
      </c>
      <c r="E210" s="6" t="inlineStr">
        <is>
          <t>RH</t>
        </is>
      </c>
      <c r="F210" s="6" t="inlineStr">
        <is>
          <t>Bénévole</t>
        </is>
      </c>
      <c r="G210" s="6" t="inlineStr">
        <is>
          <t>2024-03-20</t>
        </is>
      </c>
      <c r="H210" s="6" t="inlineStr">
        <is>
          <t>2024-06-21</t>
        </is>
      </c>
      <c r="I210" s="6" t="n"/>
      <c r="J210" s="10" t="n"/>
      <c r="K210" s="14" t="n"/>
      <c r="L210" s="10" t="n"/>
      <c r="N210" s="10" t="n"/>
      <c r="O210" s="10" t="n"/>
      <c r="P210" s="10" t="n"/>
      <c r="Q210" s="10" t="inlineStr">
        <is>
          <t>❌ Introuvable sur LinkedIn</t>
        </is>
      </c>
      <c r="R210" s="14" t="inlineStr">
        <is>
          <t>Homonyme possible trouvé (CEO YES CH) - non validé</t>
        </is>
      </c>
    </row>
    <row r="211" ht="15.75" customHeight="1" s="24">
      <c r="A211" s="6" t="n">
        <v>14</v>
      </c>
      <c r="B211" s="6" t="inlineStr">
        <is>
          <t>Gérald</t>
        </is>
      </c>
      <c r="C211" s="6" t="inlineStr">
        <is>
          <t>AGBOTI</t>
        </is>
      </c>
      <c r="D211" s="6" t="n">
        <v>2024</v>
      </c>
      <c r="E211" s="6" t="inlineStr">
        <is>
          <t>Collaboteur agriculture durable</t>
        </is>
      </c>
      <c r="F211" s="6" t="inlineStr">
        <is>
          <t>Bénévole</t>
        </is>
      </c>
      <c r="G211" s="6" t="inlineStr">
        <is>
          <t>2023-10-02</t>
        </is>
      </c>
      <c r="H211" s="6" t="inlineStr">
        <is>
          <t>2024-05-26</t>
        </is>
      </c>
      <c r="I211" s="6" t="n"/>
      <c r="J211" s="10" t="n"/>
      <c r="K211" s="14" t="inlineStr">
        <is>
          <t>Conseiller Agricole</t>
        </is>
      </c>
      <c r="L211" s="10" t="n"/>
      <c r="M211" s="15" t="inlineStr">
        <is>
          <t>Région Maritime</t>
        </is>
      </c>
      <c r="N211" s="10" t="inlineStr">
        <is>
          <t>Togo</t>
        </is>
      </c>
      <c r="O211" s="10" t="inlineStr">
        <is>
          <t>Environnement / Climat</t>
        </is>
      </c>
      <c r="P211" s="12" t="inlineStr">
        <is>
          <t>https://www.linkedin.com/in/g%C3%A9rald-agboti/</t>
        </is>
      </c>
      <c r="Q211" s="10" t="inlineStr">
        <is>
          <t>✅ Enrichi</t>
        </is>
      </c>
      <c r="R211" s="14" t="inlineStr">
        <is>
          <t>Pays: Togo, Région Maritime</t>
        </is>
      </c>
    </row>
    <row r="212" ht="15.75" customHeight="1" s="24">
      <c r="A212" s="6" t="n">
        <v>15</v>
      </c>
      <c r="B212" s="6" t="inlineStr">
        <is>
          <t>Yassh</t>
        </is>
      </c>
      <c r="C212" s="6" t="inlineStr">
        <is>
          <t>AGORO</t>
        </is>
      </c>
      <c r="D212" s="6" t="n">
        <v>2024</v>
      </c>
      <c r="E212" s="6" t="inlineStr">
        <is>
          <t>Data scientist</t>
        </is>
      </c>
      <c r="F212" s="6" t="inlineStr">
        <is>
          <t>Bénévole</t>
        </is>
      </c>
      <c r="G212" s="6" t="inlineStr">
        <is>
          <t>2024-06-03</t>
        </is>
      </c>
      <c r="H212" s="6" t="inlineStr">
        <is>
          <t>2024-12-06</t>
        </is>
      </c>
      <c r="I212" s="6" t="n"/>
      <c r="J212" s="10" t="n"/>
      <c r="K212" s="14" t="inlineStr">
        <is>
          <t>Data Scientist – Économiste appliqué</t>
        </is>
      </c>
      <c r="L212" s="15" t="inlineStr">
        <is>
          <t>ProNoïa</t>
        </is>
      </c>
      <c r="M212" s="10" t="inlineStr">
        <is>
          <t>Pau</t>
        </is>
      </c>
      <c r="N212" s="10" t="inlineStr">
        <is>
          <t>France</t>
        </is>
      </c>
      <c r="O212" s="10" t="inlineStr">
        <is>
          <t>Tech / Data</t>
        </is>
      </c>
      <c r="P212" s="12" t="inlineStr">
        <is>
          <t>https://www.linkedin.com/in/yassh-agoro-91a460315/</t>
        </is>
      </c>
      <c r="Q212" s="10" t="inlineStr">
        <is>
          <t>✅ Enrichi</t>
        </is>
      </c>
      <c r="R212" s="14" t="inlineStr">
        <is>
          <t>⭐ VEDETTE</t>
        </is>
      </c>
    </row>
    <row r="213" ht="15.75" customHeight="1" s="24">
      <c r="A213" s="6" t="n">
        <v>18</v>
      </c>
      <c r="B213" s="6" t="inlineStr">
        <is>
          <t>Yousra</t>
        </is>
      </c>
      <c r="C213" s="6" t="inlineStr">
        <is>
          <t>AL NASIR</t>
        </is>
      </c>
      <c r="D213" s="6" t="n">
        <v>2024</v>
      </c>
      <c r="E213" s="6" t="inlineStr">
        <is>
          <t>Coordinatrice recherche agriculture Durable</t>
        </is>
      </c>
      <c r="F213" s="6" t="inlineStr">
        <is>
          <t>Conventioné</t>
        </is>
      </c>
      <c r="G213" s="6" t="inlineStr">
        <is>
          <t>2024-06-10</t>
        </is>
      </c>
      <c r="H213" s="6" t="inlineStr">
        <is>
          <t>2024-09-13</t>
        </is>
      </c>
      <c r="I213" s="6" t="n"/>
      <c r="J213" s="10" t="n"/>
      <c r="K213" s="14" t="inlineStr">
        <is>
          <t>Ingénieure agronome - R&amp;D</t>
        </is>
      </c>
      <c r="L213" s="15" t="inlineStr">
        <is>
          <t>Wesh Grow</t>
        </is>
      </c>
      <c r="M213" s="15" t="inlineStr">
        <is>
          <t>Paris</t>
        </is>
      </c>
      <c r="N213" s="10" t="inlineStr">
        <is>
          <t>France</t>
        </is>
      </c>
      <c r="O213" s="10" t="inlineStr">
        <is>
          <t>Environnement / Climat</t>
        </is>
      </c>
      <c r="P213" s="12" t="inlineStr">
        <is>
          <t>https://www.linkedin.com/in/yousra-al-nasir-4973ab209/</t>
        </is>
      </c>
      <c r="Q213" s="10" t="inlineStr">
        <is>
          <t>✅ Enrichi</t>
        </is>
      </c>
      <c r="R213" s="14" t="inlineStr">
        <is>
          <t>⭐ VEDETTE AG - Agriculture urbaine vertical farming - parcours exemplaire - témoignage potentiel</t>
        </is>
      </c>
    </row>
    <row r="214" ht="15.75" customHeight="1" s="24">
      <c r="A214" s="6" t="n">
        <v>21</v>
      </c>
      <c r="B214" s="6" t="inlineStr">
        <is>
          <t>Jules-vianney</t>
        </is>
      </c>
      <c r="C214" s="6" t="inlineStr">
        <is>
          <t>ALIANA FOUDA</t>
        </is>
      </c>
      <c r="D214" s="6" t="n">
        <v>2024</v>
      </c>
      <c r="E214" s="6" t="inlineStr">
        <is>
          <t>Ingénieur éléctromagnétique</t>
        </is>
      </c>
      <c r="F214" s="6" t="inlineStr">
        <is>
          <t>Conventioné</t>
        </is>
      </c>
      <c r="G214" s="6" t="inlineStr">
        <is>
          <t>2024-09-18</t>
        </is>
      </c>
      <c r="H214" s="6" t="inlineStr">
        <is>
          <t>2024-12-19</t>
        </is>
      </c>
      <c r="I214" s="6" t="n"/>
      <c r="J214" s="10" t="n"/>
      <c r="K214" s="14" t="inlineStr">
        <is>
          <t>Étudiant ingénieur</t>
        </is>
      </c>
      <c r="L214" s="15" t="inlineStr">
        <is>
          <t>IMT Atlantique (école)</t>
        </is>
      </c>
      <c r="M214" s="15" t="inlineStr">
        <is>
          <t>Nantes</t>
        </is>
      </c>
      <c r="N214" s="10" t="inlineStr">
        <is>
          <t>France</t>
        </is>
      </c>
      <c r="O214" s="10" t="inlineStr">
        <is>
          <t>Éducation / Recherche</t>
        </is>
      </c>
      <c r="P214" s="12" t="inlineStr">
        <is>
          <t>https://www.linkedin.com/in/jules-vianney-aliana-fouda/</t>
        </is>
      </c>
      <c r="Q214" s="10" t="inlineStr">
        <is>
          <t>✅ Enrichi</t>
        </is>
      </c>
      <c r="R214" s="14" t="inlineStr">
        <is>
          <t>Étudiant ingénieur (télécom/électro) - pas de mention Gaea21 mais match par nom unique</t>
        </is>
      </c>
    </row>
    <row r="215" ht="15.75" customHeight="1" s="24">
      <c r="A215" s="6" t="n">
        <v>23</v>
      </c>
      <c r="B215" s="6" t="inlineStr">
        <is>
          <t>Alice</t>
        </is>
      </c>
      <c r="C215" s="6" t="inlineStr">
        <is>
          <t>ALVES PINTO</t>
        </is>
      </c>
      <c r="D215" s="6" t="n">
        <v>2024</v>
      </c>
      <c r="E215" s="6" t="inlineStr">
        <is>
          <t>Traductrice</t>
        </is>
      </c>
      <c r="F215" s="6" t="inlineStr">
        <is>
          <t>Bénévole</t>
        </is>
      </c>
      <c r="G215" s="6" t="inlineStr">
        <is>
          <t>2024-01-16</t>
        </is>
      </c>
      <c r="H215" s="6" t="inlineStr">
        <is>
          <t>2024-07-19</t>
        </is>
      </c>
      <c r="I215" s="6" t="n"/>
      <c r="J215" s="10" t="n"/>
      <c r="K215" s="14" t="inlineStr">
        <is>
          <t>Traductrice (stage)</t>
        </is>
      </c>
      <c r="L215" s="10" t="inlineStr">
        <is>
          <t>CSS</t>
        </is>
      </c>
      <c r="M215" s="15" t="inlineStr">
        <is>
          <t>Lausanne</t>
        </is>
      </c>
      <c r="N215" s="10" t="inlineStr">
        <is>
          <t>Suisse</t>
        </is>
      </c>
      <c r="O215" s="10" t="inlineStr">
        <is>
          <t>Entreprise privée</t>
        </is>
      </c>
      <c r="P215" s="12" t="inlineStr">
        <is>
          <t>https://www.linkedin.com/in/alice-alves-pinto/</t>
        </is>
      </c>
      <c r="Q215" s="10" t="inlineStr">
        <is>
          <t>✅ Enrichi</t>
        </is>
      </c>
      <c r="R215" s="14" t="inlineStr">
        <is>
          <t>Multilingue FR/EN/ES/PT/DE - stagiaire CSS (assurance) - multi-missions linguistiques</t>
        </is>
      </c>
    </row>
    <row r="216" ht="15.75" customHeight="1" s="24">
      <c r="A216" s="6" t="n">
        <v>25</v>
      </c>
      <c r="B216" s="6" t="inlineStr">
        <is>
          <t>Claire</t>
        </is>
      </c>
      <c r="C216" s="6" t="inlineStr">
        <is>
          <t>AMBLARD</t>
        </is>
      </c>
      <c r="D216" s="6" t="n">
        <v>2024</v>
      </c>
      <c r="E216" s="6" t="inlineStr">
        <is>
          <t>Design</t>
        </is>
      </c>
      <c r="F216" s="6" t="inlineStr">
        <is>
          <t>Bénévole</t>
        </is>
      </c>
      <c r="G216" s="6" t="inlineStr">
        <is>
          <t>2024-07-25</t>
        </is>
      </c>
      <c r="H216" s="6" t="inlineStr">
        <is>
          <t>2025-02-14</t>
        </is>
      </c>
      <c r="I216" s="6" t="n"/>
      <c r="J216" s="10" t="n"/>
      <c r="K216" s="14" t="inlineStr">
        <is>
          <t>Cheffe de projet événementiel - Responsable multi-sites</t>
        </is>
      </c>
      <c r="L216" s="15" t="inlineStr">
        <is>
          <t>Les Deux Aigles</t>
        </is>
      </c>
      <c r="M216" s="15" t="inlineStr">
        <is>
          <t>Chamonix-Mont-Blanc</t>
        </is>
      </c>
      <c r="N216" s="10" t="inlineStr">
        <is>
          <t>France</t>
        </is>
      </c>
      <c r="O216" s="10" t="inlineStr">
        <is>
          <t>Entreprise privée</t>
        </is>
      </c>
      <c r="P216" s="12" t="inlineStr">
        <is>
          <t>https://www.linkedin.com/in/claire-amblard-a688b210a/</t>
        </is>
      </c>
      <c r="Q216" s="10" t="inlineStr">
        <is>
          <t>✅ Enrichi</t>
        </is>
      </c>
      <c r="R216" s="14" t="inlineStr">
        <is>
          <t>Ancien UX designer freelance - reconversion événementiel - relation 2e niveau LinkedIn</t>
        </is>
      </c>
    </row>
    <row r="217" ht="15.75" customHeight="1" s="24">
      <c r="A217" s="6" t="n">
        <v>27</v>
      </c>
      <c r="B217" s="6" t="inlineStr">
        <is>
          <t>Claire</t>
        </is>
      </c>
      <c r="C217" s="6" t="inlineStr">
        <is>
          <t>AMORY</t>
        </is>
      </c>
      <c r="D217" s="6" t="n">
        <v>2024</v>
      </c>
      <c r="E217" s="6" t="inlineStr">
        <is>
          <t>Coordinatrice GCBO</t>
        </is>
      </c>
      <c r="F217" s="6" t="inlineStr">
        <is>
          <t>Bénévole</t>
        </is>
      </c>
      <c r="G217" s="6" t="inlineStr">
        <is>
          <t>2024-09-17</t>
        </is>
      </c>
      <c r="H217" s="6" t="inlineStr">
        <is>
          <t>2024-12-20</t>
        </is>
      </c>
      <c r="I217" s="6" t="n"/>
      <c r="J217" s="10" t="n"/>
      <c r="K217" s="14" t="inlineStr">
        <is>
          <t>Ingénieure analyste bilan carbone</t>
        </is>
      </c>
      <c r="L217" s="15" t="inlineStr">
        <is>
          <t>Numtech</t>
        </is>
      </c>
      <c r="M217" s="15" t="inlineStr">
        <is>
          <t>Annecy</t>
        </is>
      </c>
      <c r="N217" s="10" t="inlineStr">
        <is>
          <t>France</t>
        </is>
      </c>
      <c r="O217" s="10" t="inlineStr">
        <is>
          <t>Environnement / Climat</t>
        </is>
      </c>
      <c r="P217" s="12" t="inlineStr">
        <is>
          <t>https://www.linkedin.com/in/claire-amory/</t>
        </is>
      </c>
      <c r="Q217" s="10" t="inlineStr">
        <is>
          <t>✅ Enrichi</t>
        </is>
      </c>
      <c r="R217" s="14" t="inlineStr">
        <is>
          <t>⭐⭐⭐ VEDETTE AG MAX - Bilan carbone, SBTi, SNBC, animatrice Fresque Climat - parcours exemplaire Gaea21 → décarbonation entreprises - TÉMOIGNAGE IDÉAL</t>
        </is>
      </c>
    </row>
    <row r="218" ht="15.75" customHeight="1" s="24">
      <c r="A218" s="6" t="n">
        <v>31</v>
      </c>
      <c r="B218" s="6" t="inlineStr">
        <is>
          <t>Anna-Maria</t>
        </is>
      </c>
      <c r="C218" s="6" t="inlineStr">
        <is>
          <t>ANNONAY</t>
        </is>
      </c>
      <c r="D218" s="6" t="n">
        <v>2024</v>
      </c>
      <c r="E218" s="6" t="inlineStr">
        <is>
          <t>Traductrice</t>
        </is>
      </c>
      <c r="F218" s="6" t="inlineStr">
        <is>
          <t>Bénévole</t>
        </is>
      </c>
      <c r="G218" s="6" t="inlineStr">
        <is>
          <t>2024-08-12</t>
        </is>
      </c>
      <c r="H218" s="6" t="inlineStr">
        <is>
          <t>2024-12-20</t>
        </is>
      </c>
      <c r="I218" s="6" t="n"/>
      <c r="J218" s="10" t="n"/>
      <c r="K218" s="14" t="inlineStr">
        <is>
          <t>Traductrice juridique et technique</t>
        </is>
      </c>
      <c r="L218" s="15" t="inlineStr">
        <is>
          <t>ESTRI (formation) - UCLy</t>
        </is>
      </c>
      <c r="M218" s="15" t="inlineStr">
        <is>
          <t>La Trinité</t>
        </is>
      </c>
      <c r="N218" s="10" t="inlineStr">
        <is>
          <t>France</t>
        </is>
      </c>
      <c r="O218" s="10" t="inlineStr">
        <is>
          <t>Éducation / Recherche</t>
        </is>
      </c>
      <c r="P218" s="12" t="inlineStr">
        <is>
          <t>https://www.linkedin.com/in/anna-maria-annonay-a24585268/</t>
        </is>
      </c>
      <c r="Q218" s="10" t="inlineStr">
        <is>
          <t>✅ Enrichi</t>
        </is>
      </c>
      <c r="R218" s="13" t="n"/>
    </row>
    <row r="219" ht="15.75" customHeight="1" s="24">
      <c r="A219" s="6" t="n">
        <v>32</v>
      </c>
      <c r="B219" s="6" t="inlineStr">
        <is>
          <t>Chloé</t>
        </is>
      </c>
      <c r="C219" s="6" t="inlineStr">
        <is>
          <t>ANTHONADY</t>
        </is>
      </c>
      <c r="D219" s="6" t="n">
        <v>2024</v>
      </c>
      <c r="E219" s="6" t="inlineStr">
        <is>
          <t>Traductrice</t>
        </is>
      </c>
      <c r="F219" s="6" t="inlineStr">
        <is>
          <t>Bénévole</t>
        </is>
      </c>
      <c r="G219" s="6" t="inlineStr">
        <is>
          <t>2024-07-01</t>
        </is>
      </c>
      <c r="H219" s="6" t="inlineStr">
        <is>
          <t>2024-09-27</t>
        </is>
      </c>
      <c r="I219" s="6" t="n"/>
      <c r="J219" s="10" t="n"/>
      <c r="K219" s="13" t="n"/>
      <c r="L219" s="10" t="n"/>
      <c r="M219" s="10" t="n"/>
      <c r="N219" s="10" t="n"/>
      <c r="O219" s="10" t="n"/>
      <c r="P219" s="10" t="n"/>
      <c r="Q219" s="10" t="inlineStr">
        <is>
          <t>❌ Introuvable sur LinkedIn</t>
        </is>
      </c>
      <c r="R219" s="13" t="n"/>
    </row>
    <row r="220" ht="15.75" customHeight="1" s="24">
      <c r="A220" s="6" t="n">
        <v>33</v>
      </c>
      <c r="B220" s="6" t="inlineStr">
        <is>
          <t>Aman</t>
        </is>
      </c>
      <c r="C220" s="6" t="inlineStr">
        <is>
          <t>ANTILLE</t>
        </is>
      </c>
      <c r="D220" s="6" t="n">
        <v>2024</v>
      </c>
      <c r="E220" s="6" t="inlineStr">
        <is>
          <t>RH</t>
        </is>
      </c>
      <c r="F220" s="6" t="inlineStr">
        <is>
          <t>Bénévole</t>
        </is>
      </c>
      <c r="G220" s="6" t="inlineStr">
        <is>
          <t>2024-01-17</t>
        </is>
      </c>
      <c r="H220" s="6" t="inlineStr">
        <is>
          <t>2024-09-27</t>
        </is>
      </c>
      <c r="I220" s="6" t="n"/>
      <c r="J220" s="10" t="n"/>
      <c r="K220" s="15" t="inlineStr">
        <is>
          <t>Coach EFT indépendante</t>
        </is>
      </c>
      <c r="L220" s="15" t="inlineStr">
        <is>
          <t>Official EFT Aman</t>
        </is>
      </c>
      <c r="M220" s="15" t="inlineStr">
        <is>
          <t>Sierre</t>
        </is>
      </c>
      <c r="N220" s="10" t="inlineStr">
        <is>
          <t>Suisse</t>
        </is>
      </c>
      <c r="O220" s="10" t="inlineStr">
        <is>
          <t>Santé</t>
        </is>
      </c>
      <c r="P220" s="12" t="inlineStr">
        <is>
          <t>https://www.linkedin.com/in/aman-antille/</t>
        </is>
      </c>
      <c r="Q220" s="10" t="inlineStr">
        <is>
          <t>✅ Enrichi</t>
        </is>
      </c>
      <c r="R220" s="14" t="inlineStr">
        <is>
          <t>Coach EFT (Emotional Freedom Technique) - indépendante - bien-être/développement personnel</t>
        </is>
      </c>
    </row>
    <row r="221" ht="15.75" customHeight="1" s="24">
      <c r="A221" s="6" t="n">
        <v>35</v>
      </c>
      <c r="B221" s="6" t="inlineStr">
        <is>
          <t>Faouzi</t>
        </is>
      </c>
      <c r="C221" s="6" t="inlineStr">
        <is>
          <t>ARFAOUI</t>
        </is>
      </c>
      <c r="D221" s="6" t="n">
        <v>2024</v>
      </c>
      <c r="E221" s="6" t="inlineStr">
        <is>
          <t>RH</t>
        </is>
      </c>
      <c r="F221" s="6" t="inlineStr">
        <is>
          <t>Bénévole</t>
        </is>
      </c>
      <c r="G221" s="6" t="inlineStr">
        <is>
          <t>2024-03-20</t>
        </is>
      </c>
      <c r="H221" s="6" t="inlineStr">
        <is>
          <t>2024-09-20</t>
        </is>
      </c>
      <c r="I221" s="6" t="n"/>
      <c r="J221" s="10" t="n"/>
      <c r="K221" s="15" t="inlineStr">
        <is>
          <t>Recruteur senior &amp; Apporteur d'affaires</t>
        </is>
      </c>
      <c r="L221" s="15" t="inlineStr">
        <is>
          <t>Indépendant</t>
        </is>
      </c>
      <c r="M221" s="15" t="inlineStr">
        <is>
          <t>Évry / Tunis</t>
        </is>
      </c>
      <c r="N221" s="10" t="inlineStr">
        <is>
          <t>France</t>
        </is>
      </c>
      <c r="O221" s="10" t="inlineStr">
        <is>
          <t>Conseil / Audit</t>
        </is>
      </c>
      <c r="P221" s="12" t="inlineStr">
        <is>
          <t>https://www.linkedin.com/in/faouziarfaoui/</t>
        </is>
      </c>
      <c r="Q221" s="10" t="inlineStr">
        <is>
          <t>✅ Enrichi</t>
        </is>
      </c>
      <c r="R221" s="14" t="inlineStr">
        <is>
          <t>Bi-localisé France/Tunisie - recruteur indépendant - multi-missions RH/coord - pas mention Gaea21 mais 2e degré + domaine cohérent</t>
        </is>
      </c>
    </row>
    <row r="222" ht="15.75" customHeight="1" s="24">
      <c r="A222" s="6" t="n">
        <v>37</v>
      </c>
      <c r="B222" s="6" t="inlineStr">
        <is>
          <t>Khalid</t>
        </is>
      </c>
      <c r="C222" s="6" t="inlineStr">
        <is>
          <t>ASSENGHOUR</t>
        </is>
      </c>
      <c r="D222" s="6" t="n">
        <v>2024</v>
      </c>
      <c r="E222" s="6" t="inlineStr">
        <is>
          <t>Coordinateur agriculture durable</t>
        </is>
      </c>
      <c r="F222" s="6" t="inlineStr">
        <is>
          <t>Bénévole</t>
        </is>
      </c>
      <c r="G222" s="6" t="inlineStr">
        <is>
          <t>2024-07-22</t>
        </is>
      </c>
      <c r="H222" s="6" t="inlineStr">
        <is>
          <t>2025-01-24</t>
        </is>
      </c>
      <c r="I222" s="6" t="n"/>
      <c r="J222" s="10" t="n"/>
      <c r="K222" s="15" t="inlineStr">
        <is>
          <t>PhD Student / Research Assistant</t>
        </is>
      </c>
      <c r="L222" s="15" t="inlineStr">
        <is>
          <t>University of Hohenheim</t>
        </is>
      </c>
      <c r="M222" s="15" t="inlineStr">
        <is>
          <t>Stuttgart</t>
        </is>
      </c>
      <c r="N222" s="10" t="inlineStr">
        <is>
          <t>Allemagne</t>
        </is>
      </c>
      <c r="O222" s="10" t="inlineStr">
        <is>
          <t>Éducation / Recherche</t>
        </is>
      </c>
      <c r="P222" s="12" t="inlineStr">
        <is>
          <t>https://www.linkedin.com/in/khalid-assenghour-969a0420a/</t>
        </is>
      </c>
      <c r="Q222" s="10" t="inlineStr">
        <is>
          <t>✅ Enrichi</t>
        </is>
      </c>
      <c r="R222" s="14" t="inlineStr">
        <is>
          <t>⭐⭐⭐ VEDETTE AG MAX - PhD agro-écologie Allemagne - parcours Maroc→Gaea21→Allemagne - recherche agriculture durable - Gaea21 valorisé sur CV avec détails projets - TÉMOIGNAGE IDÉAL + parcours international exemplaire</t>
        </is>
      </c>
    </row>
    <row r="223" ht="15.75" customHeight="1" s="24">
      <c r="A223" s="6" t="n">
        <v>39</v>
      </c>
      <c r="B223" s="6" t="inlineStr">
        <is>
          <t>Bérénice</t>
        </is>
      </c>
      <c r="C223" s="6" t="inlineStr">
        <is>
          <t>AUCOUTURIER</t>
        </is>
      </c>
      <c r="D223" s="6" t="n">
        <v>2024</v>
      </c>
      <c r="E223" s="6" t="inlineStr">
        <is>
          <t>RH</t>
        </is>
      </c>
      <c r="F223" s="6" t="inlineStr">
        <is>
          <t>Bénévole</t>
        </is>
      </c>
      <c r="G223" s="6" t="inlineStr">
        <is>
          <t>2024-05-29</t>
        </is>
      </c>
      <c r="H223" s="6" t="inlineStr">
        <is>
          <t>2024-08-30</t>
        </is>
      </c>
      <c r="I223" s="6" t="n"/>
      <c r="J223" s="10" t="n"/>
      <c r="K223" s="15" t="inlineStr">
        <is>
          <t>Consultante - Formatrice relation client</t>
        </is>
      </c>
      <c r="L223" s="10" t="inlineStr">
        <is>
          <t>ACTR Conseils</t>
        </is>
      </c>
      <c r="M223" s="15" t="inlineStr">
        <is>
          <t>Annecy</t>
        </is>
      </c>
      <c r="N223" s="10" t="inlineStr">
        <is>
          <t>France</t>
        </is>
      </c>
      <c r="O223" s="10" t="inlineStr">
        <is>
          <t>Conseil / Audit</t>
        </is>
      </c>
      <c r="P223" s="12" t="inlineStr">
        <is>
          <t>https://www.linkedin.com/in/amal-ayed/</t>
        </is>
      </c>
      <c r="Q223" s="10" t="inlineStr">
        <is>
          <t>✅ Enrichi</t>
        </is>
      </c>
      <c r="R223" s="13" t="n"/>
    </row>
    <row r="224" ht="15.75" customHeight="1" s="24">
      <c r="A224" s="6" t="n">
        <v>41</v>
      </c>
      <c r="B224" s="6" t="inlineStr">
        <is>
          <t>Amal</t>
        </is>
      </c>
      <c r="C224" s="6" t="inlineStr">
        <is>
          <t>AYED</t>
        </is>
      </c>
      <c r="D224" s="6" t="n">
        <v>2024</v>
      </c>
      <c r="E224" s="6" t="inlineStr">
        <is>
          <t>Chargée de projet Mode Durable</t>
        </is>
      </c>
      <c r="F224" s="6" t="inlineStr">
        <is>
          <t>Bénévole</t>
        </is>
      </c>
      <c r="G224" s="6" t="inlineStr">
        <is>
          <t>2024-08-12</t>
        </is>
      </c>
      <c r="H224" s="6" t="inlineStr">
        <is>
          <t>2025-02-14</t>
        </is>
      </c>
      <c r="I224" s="6" t="n"/>
      <c r="J224" s="10" t="n"/>
      <c r="K224" s="13" t="n"/>
      <c r="L224" s="10" t="n"/>
      <c r="M224" s="10" t="n"/>
      <c r="N224" s="10" t="n"/>
      <c r="O224" s="10" t="n"/>
      <c r="P224" s="10" t="n"/>
      <c r="Q224" s="10" t="inlineStr">
        <is>
          <t>❌ Introuvable sur LinkedIn</t>
        </is>
      </c>
      <c r="R224" s="13" t="n"/>
    </row>
    <row r="225" ht="15.75" customHeight="1" s="24">
      <c r="A225" s="6" t="n">
        <v>42</v>
      </c>
      <c r="B225" s="6" t="inlineStr">
        <is>
          <t>Bruno</t>
        </is>
      </c>
      <c r="C225" s="6" t="inlineStr">
        <is>
          <t>AYER</t>
        </is>
      </c>
      <c r="D225" s="6" t="n">
        <v>2024</v>
      </c>
      <c r="E225" s="6" t="inlineStr">
        <is>
          <t>Analyse statistique</t>
        </is>
      </c>
      <c r="F225" s="6" t="inlineStr">
        <is>
          <t>Bénévole</t>
        </is>
      </c>
      <c r="G225" s="6" t="inlineStr">
        <is>
          <t>2024-08-19</t>
        </is>
      </c>
      <c r="H225" s="6" t="inlineStr">
        <is>
          <t>2025-03-14</t>
        </is>
      </c>
      <c r="I225" s="6" t="n"/>
      <c r="J225" s="10" t="n"/>
      <c r="K225" s="13" t="n"/>
      <c r="L225" s="10" t="n"/>
      <c r="M225" s="10" t="n"/>
      <c r="N225" s="10" t="n"/>
      <c r="O225" s="10" t="n"/>
      <c r="P225" s="10" t="n"/>
      <c r="Q225" s="10" t="inlineStr">
        <is>
          <t>❌ Introuvable sur LinkedIn</t>
        </is>
      </c>
      <c r="R225" s="13" t="n"/>
    </row>
    <row r="226" ht="15.75" customHeight="1" s="24">
      <c r="A226" s="6" t="n">
        <v>43</v>
      </c>
      <c r="B226" s="6" t="inlineStr">
        <is>
          <t>Tymour</t>
        </is>
      </c>
      <c r="C226" s="6" t="inlineStr">
        <is>
          <t>AZZAM</t>
        </is>
      </c>
      <c r="D226" s="6" t="n">
        <v>2024</v>
      </c>
      <c r="E226" s="6" t="inlineStr">
        <is>
          <t xml:space="preserve">Community manager </t>
        </is>
      </c>
      <c r="F226" s="6" t="inlineStr">
        <is>
          <t>Bénévole</t>
        </is>
      </c>
      <c r="G226" s="6" t="inlineStr">
        <is>
          <t>2023-09-04</t>
        </is>
      </c>
      <c r="H226" s="6" t="inlineStr">
        <is>
          <t>2024-02-02</t>
        </is>
      </c>
      <c r="I226" s="6" t="inlineStr">
        <is>
          <t>Alumni gratuit</t>
        </is>
      </c>
      <c r="J226" s="10" t="n"/>
      <c r="N226" s="15" t="n"/>
      <c r="O226" s="10" t="n"/>
      <c r="P226" s="10" t="n"/>
      <c r="Q226" s="10" t="inlineStr">
        <is>
          <t>❌ Introuvable sur LinkedIn</t>
        </is>
      </c>
      <c r="R226" s="13" t="n"/>
    </row>
    <row r="227" ht="15.75" customHeight="1" s="24">
      <c r="A227" s="6" t="n">
        <v>45</v>
      </c>
      <c r="B227" s="6" t="inlineStr">
        <is>
          <t>Natalia</t>
        </is>
      </c>
      <c r="C227" s="6" t="inlineStr">
        <is>
          <t>Acuña Andrey</t>
        </is>
      </c>
      <c r="D227" s="6" t="n">
        <v>2024</v>
      </c>
      <c r="E227" s="6" t="inlineStr">
        <is>
          <t>Coordinatrice Sustainability Club</t>
        </is>
      </c>
      <c r="F227" s="6" t="inlineStr">
        <is>
          <t>Bénévole</t>
        </is>
      </c>
      <c r="G227" s="6" t="inlineStr">
        <is>
          <t>2024-12-02</t>
        </is>
      </c>
      <c r="H227" s="6" t="inlineStr">
        <is>
          <t>2025-06-27</t>
        </is>
      </c>
      <c r="I227" s="6" t="n"/>
      <c r="J227" s="10" t="n"/>
      <c r="K227" s="15" t="inlineStr">
        <is>
          <t>Agroecology Assistant</t>
        </is>
      </c>
      <c r="L227" s="15" t="inlineStr">
        <is>
          <t>DM (Seminario Intercultural Mayense)</t>
        </is>
      </c>
      <c r="M227" s="15" t="inlineStr">
        <is>
          <t>San Cristóbal de Las Casas</t>
        </is>
      </c>
      <c r="N227" s="15" t="inlineStr">
        <is>
          <t>Mexique</t>
        </is>
      </c>
      <c r="O227" s="10" t="inlineStr">
        <is>
          <t>Environnement / Climat</t>
        </is>
      </c>
      <c r="P227" s="12" t="inlineStr">
        <is>
          <t>https://www.linkedin.com/in/natalia-acu%C3%B1a-andrey/</t>
        </is>
      </c>
      <c r="Q227" s="10" t="inlineStr">
        <is>
          <t>✅ Enrichi</t>
        </is>
      </c>
      <c r="R227" s="13" t="inlineStr">
        <is>
          <t>⭐⭐⭐ VEDETTE AG - Mexique 🇲🇽 - Agroécologie communautés mayas - ex-coordinatrice Sustainability Club Gaea21 - TÉMOIGNAGE IDÉAL parcours international</t>
        </is>
      </c>
    </row>
    <row r="228" ht="15.75" customHeight="1" s="24">
      <c r="A228" s="6" t="n">
        <v>48</v>
      </c>
      <c r="B228" s="6" t="inlineStr">
        <is>
          <t>Sirine</t>
        </is>
      </c>
      <c r="C228" s="6" t="inlineStr">
        <is>
          <t>Aouinette</t>
        </is>
      </c>
      <c r="D228" s="6" t="n">
        <v>2024</v>
      </c>
      <c r="E228" s="6" t="inlineStr">
        <is>
          <t>iste Spécialisé dans les Matériaux Composites</t>
        </is>
      </c>
      <c r="F228" s="6" t="inlineStr">
        <is>
          <t>Bénévole</t>
        </is>
      </c>
      <c r="G228" s="6" t="inlineStr">
        <is>
          <t>2024-10-21</t>
        </is>
      </c>
      <c r="H228" s="6" t="inlineStr">
        <is>
          <t>2025-05-16</t>
        </is>
      </c>
      <c r="I228" s="6" t="n"/>
      <c r="J228" s="10" t="n"/>
      <c r="K228" s="13" t="n"/>
      <c r="L228" s="10" t="n"/>
      <c r="M228" s="10" t="n"/>
      <c r="N228" s="10" t="n"/>
      <c r="O228" s="10" t="n"/>
      <c r="P228" s="10" t="n"/>
      <c r="Q228" s="10" t="inlineStr">
        <is>
          <t>❌ Introuvable sur LinkedIn</t>
        </is>
      </c>
      <c r="R228" s="13" t="n"/>
    </row>
    <row r="229" ht="15.75" customHeight="1" s="24">
      <c r="A229" s="6" t="n">
        <v>49</v>
      </c>
      <c r="B229" s="6" t="inlineStr">
        <is>
          <t>Zineb</t>
        </is>
      </c>
      <c r="C229" s="6" t="inlineStr">
        <is>
          <t>Arfani</t>
        </is>
      </c>
      <c r="D229" s="6" t="n">
        <v>2024</v>
      </c>
      <c r="E229" s="6" t="inlineStr">
        <is>
          <t>Dev Web &amp; web mobile</t>
        </is>
      </c>
      <c r="F229" s="6" t="inlineStr">
        <is>
          <t>Bénévole</t>
        </is>
      </c>
      <c r="G229" s="6" t="inlineStr">
        <is>
          <t>2024-05-23</t>
        </is>
      </c>
      <c r="H229" s="6" t="inlineStr">
        <is>
          <t>2024-09-13</t>
        </is>
      </c>
      <c r="I229" s="6" t="n"/>
      <c r="J229" s="10" t="n"/>
      <c r="K229" s="14" t="inlineStr">
        <is>
          <t>Étudiante ingénieure en Management et Gouvernance SI</t>
        </is>
      </c>
      <c r="L229" s="14" t="inlineStr">
        <is>
          <t>ENSIASD (École d'Intelligence Artificielle)</t>
        </is>
      </c>
      <c r="M229" s="15" t="inlineStr">
        <is>
          <t>Khouribga</t>
        </is>
      </c>
      <c r="N229" s="10" t="inlineStr">
        <is>
          <t>Maroc</t>
        </is>
      </c>
      <c r="O229" s="10" t="inlineStr">
        <is>
          <t>Éducation / Recherche</t>
        </is>
      </c>
      <c r="P229" s="12" t="inlineStr">
        <is>
          <t>https://www.linkedin.com/in/zineb-arfani-070286269/</t>
        </is>
      </c>
      <c r="Q229" s="10" t="inlineStr">
        <is>
          <t>✅ Enrichi</t>
        </is>
      </c>
      <c r="R229" s="13" t="n"/>
    </row>
    <row r="230" ht="15.75" customHeight="1" s="24">
      <c r="A230" s="6" t="n">
        <v>50</v>
      </c>
      <c r="B230" s="6" t="inlineStr">
        <is>
          <t>Saida</t>
        </is>
      </c>
      <c r="C230" s="6" t="inlineStr">
        <is>
          <t>Ayad</t>
        </is>
      </c>
      <c r="D230" s="6" t="n">
        <v>2024</v>
      </c>
      <c r="E230" s="6" t="inlineStr">
        <is>
          <t xml:space="preserve">Auditeur vert répertoire vert </t>
        </is>
      </c>
      <c r="F230" s="6" t="inlineStr">
        <is>
          <t>Bénévole</t>
        </is>
      </c>
      <c r="G230" s="6" t="inlineStr">
        <is>
          <t>2024-09-17</t>
        </is>
      </c>
      <c r="H230" s="6" t="inlineStr">
        <is>
          <t>2025-03-21</t>
        </is>
      </c>
      <c r="I230" s="6" t="n"/>
      <c r="J230" s="10" t="n"/>
      <c r="K230" s="13" t="n"/>
      <c r="L230" s="10" t="n"/>
      <c r="M230" s="10" t="n"/>
      <c r="N230" s="10" t="n"/>
      <c r="O230" s="10" t="n"/>
      <c r="P230" s="10" t="n"/>
      <c r="Q230" s="10" t="inlineStr">
        <is>
          <t>❌ Introuvable sur LinkedIn</t>
        </is>
      </c>
      <c r="R230" s="13" t="n"/>
    </row>
    <row r="231" ht="15.75" customHeight="1" s="24">
      <c r="A231" s="6" t="n">
        <v>51</v>
      </c>
      <c r="B231" s="6" t="inlineStr">
        <is>
          <t>Brahim</t>
        </is>
      </c>
      <c r="C231" s="6" t="inlineStr">
        <is>
          <t>BACHOU</t>
        </is>
      </c>
      <c r="D231" s="6" t="n">
        <v>2024</v>
      </c>
      <c r="E231" s="6" t="inlineStr">
        <is>
          <t>Data analyst</t>
        </is>
      </c>
      <c r="F231" s="6" t="inlineStr">
        <is>
          <t>Bénévole</t>
        </is>
      </c>
      <c r="G231" s="6" t="inlineStr">
        <is>
          <t>2024-06-25</t>
        </is>
      </c>
      <c r="H231" s="6" t="inlineStr">
        <is>
          <t>2024-09-27</t>
        </is>
      </c>
      <c r="I231" s="6" t="n"/>
      <c r="J231" s="10" t="n"/>
      <c r="K231" s="14" t="inlineStr">
        <is>
          <t>Ingénieur d'État économie appliquée, statistique et Big Data (jeune diplômé)</t>
        </is>
      </c>
      <c r="L231" s="15" t="inlineStr">
        <is>
          <t>INSEA (recherche emploi)</t>
        </is>
      </c>
      <c r="M231" s="15" t="inlineStr">
        <is>
          <t>Rabat</t>
        </is>
      </c>
      <c r="N231" s="10" t="inlineStr">
        <is>
          <t>Maroc</t>
        </is>
      </c>
      <c r="O231" s="10" t="inlineStr">
        <is>
          <t>Tech / Data</t>
        </is>
      </c>
      <c r="P231" s="12" t="inlineStr">
        <is>
          <t>https://www.linkedin.com/in/brahim-bachou-556b53282/?locale=fr_FR</t>
        </is>
      </c>
      <c r="Q231" s="10" t="inlineStr">
        <is>
          <t>✅ Enrichi</t>
        </is>
      </c>
      <c r="R231" s="13" t="inlineStr">
        <is>
          <t>⭐⭐⭐ VEDETTE AG - Maroc 🇲🇦 - jeune diplômé INSEA - Stage Bank Al-Maghrib - finance durable + empreinte carbone - 1132 abonnés LinkedIn - TÉMOIGNAGE IDÉAL</t>
        </is>
      </c>
    </row>
    <row r="232" ht="15.75" customHeight="1" s="24">
      <c r="A232" s="6" t="n">
        <v>55</v>
      </c>
      <c r="B232" s="6" t="inlineStr">
        <is>
          <t>Izabela Baranienko</t>
        </is>
      </c>
      <c r="C232" s="6" t="inlineStr">
        <is>
          <t>BARANIENKO</t>
        </is>
      </c>
      <c r="D232" s="6" t="n">
        <v>2024</v>
      </c>
      <c r="E232" s="6" t="inlineStr">
        <is>
          <t>RH</t>
        </is>
      </c>
      <c r="F232" s="6" t="inlineStr">
        <is>
          <t>Bénévole</t>
        </is>
      </c>
      <c r="G232" s="6" t="inlineStr">
        <is>
          <t>2023-04-19</t>
        </is>
      </c>
      <c r="H232" s="6" t="inlineStr">
        <is>
          <t>2024-02-29</t>
        </is>
      </c>
      <c r="I232" s="6" t="inlineStr">
        <is>
          <t>Alumni gratuit</t>
        </is>
      </c>
      <c r="J232" s="10" t="n"/>
      <c r="K232" s="14" t="inlineStr">
        <is>
          <t>Assistante Comptable RH (certificat Gestionnaire RH HRSE)</t>
        </is>
      </c>
      <c r="L232" s="14" t="inlineStr">
        <is>
          <t>Dubey Communication-Electricité SA</t>
        </is>
      </c>
      <c r="M232" s="15" t="inlineStr">
        <is>
          <t>Estavayer-le-Lac</t>
        </is>
      </c>
      <c r="N232" s="10" t="inlineStr">
        <is>
          <t>Suisse</t>
        </is>
      </c>
      <c r="O232" s="10" t="inlineStr">
        <is>
          <t>Entreprise privée</t>
        </is>
      </c>
      <c r="P232" s="12" t="inlineStr">
        <is>
          <t>https://www.linkedin.com/in/izabela-baranienko-b335b2268/</t>
        </is>
      </c>
      <c r="Q232" s="10" t="inlineStr">
        <is>
          <t>✅ Enrichi</t>
        </is>
      </c>
      <c r="R232" s="13" t="n"/>
    </row>
    <row r="233" ht="15.75" customHeight="1" s="24">
      <c r="A233" s="6" t="n">
        <v>60</v>
      </c>
      <c r="B233" s="6" t="inlineStr">
        <is>
          <t>Ryan</t>
        </is>
      </c>
      <c r="C233" s="6" t="inlineStr">
        <is>
          <t>BEKADDOUR</t>
        </is>
      </c>
      <c r="D233" s="6" t="n">
        <v>2024</v>
      </c>
      <c r="E233" s="6" t="inlineStr">
        <is>
          <t>Consultant expert en cybersécurité</t>
        </is>
      </c>
      <c r="F233" s="6" t="inlineStr">
        <is>
          <t>Conventioné</t>
        </is>
      </c>
      <c r="G233" s="6" t="inlineStr">
        <is>
          <t>2024-10-15</t>
        </is>
      </c>
      <c r="H233" s="6" t="inlineStr">
        <is>
          <t>2025-04-25</t>
        </is>
      </c>
      <c r="I233" s="6" t="n"/>
      <c r="J233" s="10" t="n"/>
      <c r="K233" s="14" t="inlineStr">
        <is>
          <t>Étudiant Consultant Cybersécurité (en formation)</t>
        </is>
      </c>
      <c r="L233" s="15" t="inlineStr">
        <is>
          <t>IT Akademy</t>
        </is>
      </c>
      <c r="M233" s="15" t="inlineStr">
        <is>
          <t>Lyon</t>
        </is>
      </c>
      <c r="N233" s="10" t="inlineStr">
        <is>
          <t>France</t>
        </is>
      </c>
      <c r="O233" s="10" t="inlineStr">
        <is>
          <t>Éducation / Recherche</t>
        </is>
      </c>
      <c r="P233" s="12" t="inlineStr">
        <is>
          <t>https://www.linkedin.com/in/ryan-bekaddour-29242b1b9/</t>
        </is>
      </c>
      <c r="Q233" s="10" t="inlineStr">
        <is>
          <t>✅ Enrichi</t>
        </is>
      </c>
      <c r="R233" s="13" t="n"/>
    </row>
    <row r="234" ht="15.75" customHeight="1" s="24">
      <c r="A234" s="6" t="n">
        <v>61</v>
      </c>
      <c r="B234" s="6" t="inlineStr">
        <is>
          <t>Samira</t>
        </is>
      </c>
      <c r="C234" s="6" t="inlineStr">
        <is>
          <t>BELARBI</t>
        </is>
      </c>
      <c r="D234" s="6" t="n">
        <v>2024</v>
      </c>
      <c r="E234" s="6" t="inlineStr">
        <is>
          <t>RH</t>
        </is>
      </c>
      <c r="F234" s="6" t="inlineStr">
        <is>
          <t>Bénévole</t>
        </is>
      </c>
      <c r="G234" s="6" t="inlineStr">
        <is>
          <t>2024-08-14</t>
        </is>
      </c>
      <c r="H234" s="6" t="inlineStr">
        <is>
          <t>2024-12-18</t>
        </is>
      </c>
      <c r="I234" s="6" t="n"/>
      <c r="J234" s="10" t="n"/>
      <c r="K234" s="14" t="inlineStr">
        <is>
          <t>Formatrice et Conseillère en insertion professionnelle</t>
        </is>
      </c>
      <c r="L234" s="15" t="inlineStr">
        <is>
          <t>CLPS L'enjeu compétences</t>
        </is>
      </c>
      <c r="M234" s="15" t="inlineStr">
        <is>
          <t>Rennes</t>
        </is>
      </c>
      <c r="N234" s="10" t="inlineStr">
        <is>
          <t>France</t>
        </is>
      </c>
      <c r="O234" s="10" t="inlineStr">
        <is>
          <t>Éducation / Recherche</t>
        </is>
      </c>
      <c r="P234" s="12" t="inlineStr">
        <is>
          <t>https://www.linkedin.com/in/samira-belarbi/</t>
        </is>
      </c>
      <c r="Q234" s="10" t="inlineStr">
        <is>
          <t>✅ Enrichi</t>
        </is>
      </c>
      <c r="R234" s="13" t="n"/>
    </row>
    <row r="235" ht="15.75" customHeight="1" s="24">
      <c r="A235" s="6" t="n">
        <v>64</v>
      </c>
      <c r="B235" s="6" t="inlineStr">
        <is>
          <t>Angeline</t>
        </is>
      </c>
      <c r="C235" s="6" t="inlineStr">
        <is>
          <t>BELLINI</t>
        </is>
      </c>
      <c r="D235" s="6" t="n">
        <v>2024</v>
      </c>
      <c r="E235" s="6" t="inlineStr">
        <is>
          <t>Analyste de Cycle de vie</t>
        </is>
      </c>
      <c r="F235" s="6" t="inlineStr">
        <is>
          <t>Bénévole</t>
        </is>
      </c>
      <c r="G235" s="6" t="inlineStr">
        <is>
          <t>2025-01-13</t>
        </is>
      </c>
      <c r="H235" s="6" t="inlineStr">
        <is>
          <t>2025-07-18</t>
        </is>
      </c>
      <c r="I235" s="6" t="n"/>
      <c r="J235" s="10" t="n"/>
      <c r="K235" s="15" t="inlineStr">
        <is>
          <t>Brand Communication Specialist</t>
        </is>
      </c>
      <c r="L235" s="15" t="inlineStr">
        <is>
          <t>Honda Motor Europe Ltd</t>
        </is>
      </c>
      <c r="M235" s="15" t="inlineStr">
        <is>
          <t>Genève</t>
        </is>
      </c>
      <c r="N235" s="10" t="inlineStr">
        <is>
          <t>Suisse</t>
        </is>
      </c>
      <c r="O235" s="10" t="inlineStr">
        <is>
          <t>Culture / Média</t>
        </is>
      </c>
      <c r="P235" s="12" t="inlineStr">
        <is>
          <t>https://www.linkedin.com/in/angeline-bellini/</t>
        </is>
      </c>
      <c r="Q235" s="10" t="inlineStr">
        <is>
          <t>✅ Enrichi</t>
        </is>
      </c>
      <c r="R235" s="13" t="inlineStr">
        <is>
          <t>⭐⭐⭐⭐ VEDETTE AG MAX - Honda Motor Europe (logo majeur) - LCA certifiée - 10+ ans exp - a construit sustainability toolbox Gaea21 + app Répertoire Vert - Genève - TÉMOIGNAGE PRIORITÉ MAXIMALE</t>
        </is>
      </c>
    </row>
    <row r="236" ht="15.75" customHeight="1" s="24">
      <c r="A236" s="6" t="n">
        <v>65</v>
      </c>
      <c r="B236" s="6" t="inlineStr">
        <is>
          <t>Hafsa</t>
        </is>
      </c>
      <c r="C236" s="6" t="inlineStr">
        <is>
          <t>BELMIR</t>
        </is>
      </c>
      <c r="D236" s="6" t="n">
        <v>2024</v>
      </c>
      <c r="E236" s="6" t="inlineStr">
        <is>
          <t>Coordinatrice marketing</t>
        </is>
      </c>
      <c r="F236" s="6" t="inlineStr">
        <is>
          <t>Bénévole</t>
        </is>
      </c>
      <c r="G236" s="6" t="inlineStr">
        <is>
          <t>2024-07-08</t>
        </is>
      </c>
      <c r="H236" s="6" t="inlineStr">
        <is>
          <t>2024-10-11</t>
        </is>
      </c>
      <c r="I236" s="6" t="n"/>
      <c r="J236" s="10" t="n"/>
      <c r="K236" s="15" t="inlineStr">
        <is>
          <t>Chargée de Communication et RSE (alternance)</t>
        </is>
      </c>
      <c r="L236" s="15" t="inlineStr">
        <is>
          <t>Orange</t>
        </is>
      </c>
      <c r="M236" s="10" t="inlineStr">
        <is>
          <t>Marseille</t>
        </is>
      </c>
      <c r="N236" s="10" t="inlineStr">
        <is>
          <t>France</t>
        </is>
      </c>
      <c r="O236" s="10" t="inlineStr">
        <is>
          <t>Culture / Média</t>
        </is>
      </c>
      <c r="P236" s="12" t="inlineStr">
        <is>
          <t>https://www.linkedin.com/in/hafsa-belmir-communication/</t>
        </is>
      </c>
      <c r="Q236" s="10" t="inlineStr">
        <is>
          <t>✅ Enrichi</t>
        </is>
      </c>
      <c r="R236" s="13" t="n"/>
    </row>
    <row r="237" ht="15.75" customHeight="1" s="24">
      <c r="A237" s="6" t="n">
        <v>66</v>
      </c>
      <c r="B237" s="6" t="inlineStr">
        <is>
          <t>Brice</t>
        </is>
      </c>
      <c r="C237" s="6" t="inlineStr">
        <is>
          <t>BELMONTE</t>
        </is>
      </c>
      <c r="D237" s="6" t="n">
        <v>2024</v>
      </c>
      <c r="E237" s="6" t="inlineStr">
        <is>
          <t>IT</t>
        </is>
      </c>
      <c r="F237" s="6" t="inlineStr">
        <is>
          <t>Conventioné</t>
        </is>
      </c>
      <c r="G237" s="6" t="inlineStr">
        <is>
          <t>2024-08-12</t>
        </is>
      </c>
      <c r="H237" s="6" t="inlineStr">
        <is>
          <t>2024-10-04</t>
        </is>
      </c>
      <c r="I237" s="6" t="n"/>
      <c r="J237" s="10" t="n"/>
      <c r="K237" s="13" t="n"/>
      <c r="L237" s="10" t="n"/>
      <c r="M237" s="10" t="n"/>
      <c r="N237" s="10" t="n"/>
      <c r="O237" s="10" t="n"/>
      <c r="P237" s="10" t="n"/>
      <c r="Q237" s="10" t="inlineStr">
        <is>
          <t>❌ Introuvable sur LinkedIn</t>
        </is>
      </c>
      <c r="R237" s="13" t="n"/>
    </row>
    <row r="238" ht="15.75" customHeight="1" s="24">
      <c r="A238" s="6" t="n">
        <v>68</v>
      </c>
      <c r="B238" s="6" t="inlineStr">
        <is>
          <t>Mohamed</t>
        </is>
      </c>
      <c r="C238" s="6" t="inlineStr">
        <is>
          <t>BEN MAAOUIA</t>
        </is>
      </c>
      <c r="D238" s="6" t="n">
        <v>2024</v>
      </c>
      <c r="E238" s="6" t="inlineStr">
        <is>
          <t>IT</t>
        </is>
      </c>
      <c r="F238" s="6" t="inlineStr">
        <is>
          <t>Bénévole</t>
        </is>
      </c>
      <c r="G238" s="6" t="inlineStr">
        <is>
          <t>2024-06-10</t>
        </is>
      </c>
      <c r="H238" s="6" t="inlineStr">
        <is>
          <t>2024-09-23</t>
        </is>
      </c>
      <c r="I238" s="6" t="n"/>
      <c r="J238" s="10" t="n"/>
      <c r="K238" s="15" t="inlineStr">
        <is>
          <t>Formateur Web et développeur fullstack</t>
        </is>
      </c>
      <c r="L238" s="15" t="inlineStr">
        <is>
          <t>Rayen Academy</t>
        </is>
      </c>
      <c r="M238" s="15" t="inlineStr">
        <is>
          <t>Nabeul</t>
        </is>
      </c>
      <c r="N238" s="10" t="inlineStr">
        <is>
          <t>Tunisie</t>
        </is>
      </c>
      <c r="O238" s="10" t="inlineStr">
        <is>
          <t>Tech / Data</t>
        </is>
      </c>
      <c r="P238" s="12" t="inlineStr">
        <is>
          <t>https://www.linkedin.com/in/mohamed-ben-maaouia/</t>
        </is>
      </c>
      <c r="Q238" s="10" t="inlineStr">
        <is>
          <t>✅ Enrichi</t>
        </is>
      </c>
      <c r="R238" s="13" t="n"/>
    </row>
    <row r="239" ht="15.75" customHeight="1" s="24">
      <c r="A239" s="6" t="n">
        <v>69</v>
      </c>
      <c r="B239" s="6" t="inlineStr">
        <is>
          <t>Donia</t>
        </is>
      </c>
      <c r="C239" s="6" t="inlineStr">
        <is>
          <t>BEN MANSOUR</t>
        </is>
      </c>
      <c r="D239" s="6" t="n">
        <v>2024</v>
      </c>
      <c r="E239" s="6" t="inlineStr">
        <is>
          <t>RH</t>
        </is>
      </c>
      <c r="F239" s="6" t="inlineStr">
        <is>
          <t>Bénévole</t>
        </is>
      </c>
      <c r="G239" s="6" t="inlineStr">
        <is>
          <t>2024-05-22</t>
        </is>
      </c>
      <c r="H239" s="6" t="inlineStr">
        <is>
          <t>2024-11-22</t>
        </is>
      </c>
      <c r="I239" s="6" t="n"/>
      <c r="J239" s="10" t="n"/>
      <c r="K239" s="13" t="n"/>
      <c r="L239" s="10" t="n"/>
      <c r="M239" s="10" t="n"/>
      <c r="N239" s="10" t="n"/>
      <c r="O239" s="10" t="n"/>
      <c r="P239" s="10" t="n"/>
      <c r="Q239" s="10" t="inlineStr">
        <is>
          <t>❌ Introuvable sur LinkedIn</t>
        </is>
      </c>
      <c r="R239" s="13" t="n"/>
    </row>
    <row r="240" ht="15.75" customHeight="1" s="24">
      <c r="A240" s="6" t="n">
        <v>73</v>
      </c>
      <c r="B240" s="6" t="inlineStr">
        <is>
          <t>Dorothée</t>
        </is>
      </c>
      <c r="C240" s="6" t="inlineStr">
        <is>
          <t>BERG</t>
        </is>
      </c>
      <c r="D240" s="6" t="n">
        <v>2024</v>
      </c>
      <c r="E240" s="6" t="inlineStr">
        <is>
          <t>RH</t>
        </is>
      </c>
      <c r="F240" s="6" t="inlineStr">
        <is>
          <t>Bénévole</t>
        </is>
      </c>
      <c r="G240" s="6" t="inlineStr">
        <is>
          <t>2023-12-20</t>
        </is>
      </c>
      <c r="H240" s="6" t="inlineStr">
        <is>
          <t>2024-04-26</t>
        </is>
      </c>
      <c r="I240" s="6" t="n"/>
      <c r="J240" s="10" t="n"/>
      <c r="K240" s="13" t="n"/>
      <c r="L240" s="10" t="n"/>
      <c r="M240" s="10" t="n"/>
      <c r="N240" s="10" t="n"/>
      <c r="O240" s="10" t="n"/>
      <c r="P240" s="10" t="n"/>
      <c r="Q240" s="10" t="inlineStr">
        <is>
          <t>❌ Introuvable sur LinkedIn</t>
        </is>
      </c>
      <c r="R240" s="13" t="n"/>
    </row>
    <row r="241" ht="15.75" customHeight="1" s="24">
      <c r="A241" s="6" t="n">
        <v>77</v>
      </c>
      <c r="B241" s="6" t="inlineStr">
        <is>
          <t>Komla Wolanya</t>
        </is>
      </c>
      <c r="C241" s="6" t="inlineStr">
        <is>
          <t>BIEM</t>
        </is>
      </c>
      <c r="D241" s="6" t="n">
        <v>2024</v>
      </c>
      <c r="E241" s="6" t="inlineStr">
        <is>
          <t>Chargé de projet en environnement/développement durable/changement climatique</t>
        </is>
      </c>
      <c r="F241" s="6" t="inlineStr">
        <is>
          <t>Bénévole</t>
        </is>
      </c>
      <c r="G241" s="6" t="inlineStr">
        <is>
          <t>2024-04-22</t>
        </is>
      </c>
      <c r="H241" s="6" t="n"/>
      <c r="I241" s="6" t="n"/>
      <c r="J241" s="10" t="n"/>
      <c r="K241" s="13" t="n"/>
      <c r="L241" s="10" t="n"/>
      <c r="M241" s="10" t="n"/>
      <c r="N241" s="10" t="n"/>
      <c r="O241" s="10" t="n"/>
      <c r="P241" s="10" t="n"/>
      <c r="Q241" s="10" t="inlineStr">
        <is>
          <t>❌ Introuvable sur LinkedIn</t>
        </is>
      </c>
      <c r="R241" s="13" t="n"/>
    </row>
    <row r="242" ht="15.75" customHeight="1" s="24">
      <c r="A242" s="6" t="n">
        <v>79</v>
      </c>
      <c r="B242" s="6" t="inlineStr">
        <is>
          <t>Fatoumata</t>
        </is>
      </c>
      <c r="C242" s="6" t="inlineStr">
        <is>
          <t>BINTOUT NDAO</t>
        </is>
      </c>
      <c r="D242" s="6" t="n">
        <v>2024</v>
      </c>
      <c r="E242" s="6" t="inlineStr">
        <is>
          <t>Consultante QSE</t>
        </is>
      </c>
      <c r="F242" s="6" t="inlineStr">
        <is>
          <t>Conventioné</t>
        </is>
      </c>
      <c r="G242" s="6" t="inlineStr">
        <is>
          <t>2024-03-12</t>
        </is>
      </c>
      <c r="H242" s="6" t="inlineStr">
        <is>
          <t>2024-09-13</t>
        </is>
      </c>
      <c r="I242" s="6" t="n"/>
      <c r="J242" s="10" t="n"/>
      <c r="K242" s="13" t="n"/>
      <c r="L242" s="10" t="n"/>
      <c r="M242" s="10" t="n"/>
      <c r="N242" s="10" t="n"/>
      <c r="O242" s="10" t="n"/>
      <c r="P242" s="10" t="n"/>
      <c r="Q242" s="10" t="inlineStr">
        <is>
          <t>❌ Introuvable sur LinkedIn</t>
        </is>
      </c>
      <c r="R242" s="13" t="n"/>
    </row>
    <row r="243" ht="15.75" customHeight="1" s="24">
      <c r="A243" s="6" t="n">
        <v>82</v>
      </c>
      <c r="B243" s="6" t="inlineStr">
        <is>
          <t>Loubna</t>
        </is>
      </c>
      <c r="C243" s="6" t="inlineStr">
        <is>
          <t>BOUHANNOU</t>
        </is>
      </c>
      <c r="D243" s="6" t="n">
        <v>2024</v>
      </c>
      <c r="E243" s="6" t="inlineStr">
        <is>
          <t>RH</t>
        </is>
      </c>
      <c r="F243" s="6" t="inlineStr">
        <is>
          <t>Bénévole</t>
        </is>
      </c>
      <c r="G243" s="6" t="inlineStr">
        <is>
          <t>2023-10-04</t>
        </is>
      </c>
      <c r="H243" s="6" t="inlineStr">
        <is>
          <t>2024-02-15</t>
        </is>
      </c>
      <c r="I243" s="6" t="n"/>
      <c r="J243" s="10" t="n"/>
      <c r="K243" s="15" t="inlineStr">
        <is>
          <t>Chargée de développement RH et Gestionnaire de paie</t>
        </is>
      </c>
      <c r="L243" s="15" t="inlineStr">
        <is>
          <t>en recherche alternance / ORT France</t>
        </is>
      </c>
      <c r="M243" s="15" t="inlineStr">
        <is>
          <t>Genève</t>
        </is>
      </c>
      <c r="N243" s="10" t="inlineStr">
        <is>
          <t>Suisse</t>
        </is>
      </c>
      <c r="O243" s="10" t="inlineStr">
        <is>
          <t>Éducation / Recherche</t>
        </is>
      </c>
      <c r="P243" s="12" t="inlineStr">
        <is>
          <t>https://www.linkedin.com/in/loubna-bouhannou-262476151/</t>
        </is>
      </c>
      <c r="Q243" s="10" t="inlineStr">
        <is>
          <t>✅ Enrichi</t>
        </is>
      </c>
      <c r="R243" s="13" t="n"/>
    </row>
    <row r="244" ht="15.75" customHeight="1" s="24">
      <c r="A244" s="6" t="n">
        <v>83</v>
      </c>
      <c r="B244" s="6" t="inlineStr">
        <is>
          <t>Fatma</t>
        </is>
      </c>
      <c r="C244" s="6" t="inlineStr">
        <is>
          <t>BOUJELBEN</t>
        </is>
      </c>
      <c r="D244" s="6" t="n">
        <v>2024</v>
      </c>
      <c r="E244" s="6" t="inlineStr">
        <is>
          <t>Sociologue</t>
        </is>
      </c>
      <c r="F244" s="6" t="inlineStr">
        <is>
          <t>Bénévole</t>
        </is>
      </c>
      <c r="G244" s="6" t="inlineStr">
        <is>
          <t>2024-07-16</t>
        </is>
      </c>
      <c r="H244" s="6" t="inlineStr">
        <is>
          <t>2025-01-31</t>
        </is>
      </c>
      <c r="I244" s="6" t="n"/>
      <c r="J244" s="10" t="n"/>
      <c r="K244" s="13" t="n"/>
      <c r="L244" s="10" t="n"/>
      <c r="M244" s="10" t="n"/>
      <c r="N244" s="10" t="n"/>
      <c r="O244" s="10" t="n"/>
      <c r="P244" s="10" t="n"/>
      <c r="Q244" s="10" t="inlineStr">
        <is>
          <t>❌ Introuvable sur LinkedIn</t>
        </is>
      </c>
      <c r="R244" s="13" t="n"/>
    </row>
    <row r="245" ht="15.75" customHeight="1" s="24">
      <c r="A245" s="6" t="n">
        <v>88</v>
      </c>
      <c r="B245" s="6" t="inlineStr">
        <is>
          <t>Florence</t>
        </is>
      </c>
      <c r="C245" s="6" t="inlineStr">
        <is>
          <t>BRUCHET</t>
        </is>
      </c>
      <c r="D245" s="6" t="n">
        <v>2024</v>
      </c>
      <c r="E245" s="6" t="inlineStr">
        <is>
          <t>RH</t>
        </is>
      </c>
      <c r="F245" s="6" t="inlineStr">
        <is>
          <t>Bénévole</t>
        </is>
      </c>
      <c r="G245" s="6" t="inlineStr">
        <is>
          <t>2026-04-09</t>
        </is>
      </c>
      <c r="H245" s="6" t="inlineStr">
        <is>
          <t>2025-03-28</t>
        </is>
      </c>
      <c r="I245" s="6" t="n"/>
      <c r="J245" s="10" t="n"/>
      <c r="K245" s="13" t="n"/>
      <c r="L245" s="10" t="n"/>
      <c r="M245" s="10" t="n"/>
      <c r="N245" s="10" t="n"/>
      <c r="O245" s="10" t="n"/>
      <c r="P245" s="10" t="n"/>
      <c r="Q245" s="10" t="inlineStr">
        <is>
          <t>❌ Introuvable sur LinkedIn</t>
        </is>
      </c>
      <c r="R245" s="13" t="n"/>
    </row>
    <row r="246" ht="15.75" customHeight="1" s="24">
      <c r="A246" s="6" t="n">
        <v>92</v>
      </c>
      <c r="B246" s="6" t="inlineStr">
        <is>
          <t>Raoul</t>
        </is>
      </c>
      <c r="C246" s="6" t="inlineStr">
        <is>
          <t>Bassil</t>
        </is>
      </c>
      <c r="D246" s="6" t="n">
        <v>2024</v>
      </c>
      <c r="E246" s="6" t="inlineStr">
        <is>
          <t xml:space="preserve">analyste economique
</t>
        </is>
      </c>
      <c r="F246" s="6" t="inlineStr">
        <is>
          <t>Bénévole</t>
        </is>
      </c>
      <c r="G246" s="6" t="inlineStr">
        <is>
          <t>2024-05-21</t>
        </is>
      </c>
      <c r="H246" s="6" t="inlineStr">
        <is>
          <t>2024-08-23</t>
        </is>
      </c>
      <c r="I246" s="6" t="n"/>
      <c r="J246" s="10" t="n"/>
      <c r="K246" s="15" t="inlineStr">
        <is>
          <t>Business Consulting &amp; Decision Intelligence Master's Student</t>
        </is>
      </c>
      <c r="L246" s="15" t="inlineStr">
        <is>
          <t>SKEMA Business School</t>
        </is>
      </c>
      <c r="M246" s="10" t="n"/>
      <c r="N246" s="10" t="inlineStr">
        <is>
          <t>France</t>
        </is>
      </c>
      <c r="O246" s="10" t="inlineStr">
        <is>
          <t>Éducation / Recherche</t>
        </is>
      </c>
      <c r="P246" s="12" t="inlineStr">
        <is>
          <t>https://www.linkedin.com/in/raoul-bassil/</t>
        </is>
      </c>
      <c r="Q246" s="10" t="inlineStr">
        <is>
          <t>✅ Enrichi</t>
        </is>
      </c>
      <c r="R246" s="13" t="inlineStr">
        <is>
          <t>⭐⭐ VEDETTE AG - SKEMA Business School - Finance Project Manager Gaea21 - parcours international Liban/Dubai/France</t>
        </is>
      </c>
    </row>
    <row r="247" ht="15.75" customHeight="1" s="24">
      <c r="A247" s="6" t="n">
        <v>95</v>
      </c>
      <c r="B247" s="6" t="inlineStr">
        <is>
          <t>Salim</t>
        </is>
      </c>
      <c r="C247" s="6" t="inlineStr">
        <is>
          <t>Bouzid</t>
        </is>
      </c>
      <c r="D247" s="6" t="n">
        <v>2024</v>
      </c>
      <c r="E247" s="6" t="inlineStr">
        <is>
          <t>developpeur web et web mobile</t>
        </is>
      </c>
      <c r="F247" s="6" t="inlineStr">
        <is>
          <t>Conventioné</t>
        </is>
      </c>
      <c r="G247" s="6" t="inlineStr">
        <is>
          <t>2023-11-23</t>
        </is>
      </c>
      <c r="H247" s="6" t="inlineStr">
        <is>
          <t>2024-03-12</t>
        </is>
      </c>
      <c r="I247" s="6" t="n"/>
      <c r="J247" s="10" t="n"/>
      <c r="K247" s="13" t="n"/>
      <c r="L247" s="10" t="n"/>
      <c r="M247" s="10" t="n"/>
      <c r="N247" s="10" t="n"/>
      <c r="O247" s="10" t="n"/>
      <c r="P247" s="10" t="n"/>
      <c r="Q247" s="10" t="inlineStr">
        <is>
          <t>❌ Introuvable sur LinkedIn</t>
        </is>
      </c>
      <c r="R247" s="13" t="n"/>
    </row>
    <row r="248" ht="15.75" customHeight="1" s="24">
      <c r="A248" s="6" t="n">
        <v>97</v>
      </c>
      <c r="B248" s="6" t="inlineStr">
        <is>
          <t>Jimmy</t>
        </is>
      </c>
      <c r="C248" s="6" t="inlineStr">
        <is>
          <t>CADOT</t>
        </is>
      </c>
      <c r="D248" s="6" t="n">
        <v>2024</v>
      </c>
      <c r="E248" s="6" t="inlineStr">
        <is>
          <t>IT</t>
        </is>
      </c>
      <c r="F248" s="6" t="inlineStr">
        <is>
          <t>Conventioné</t>
        </is>
      </c>
      <c r="G248" s="6" t="inlineStr">
        <is>
          <t>2024-05-21</t>
        </is>
      </c>
      <c r="H248" s="6" t="inlineStr">
        <is>
          <t>2024-08-23</t>
        </is>
      </c>
      <c r="I248" s="6" t="n"/>
      <c r="J248" s="10" t="n"/>
      <c r="K248" s="13" t="n"/>
      <c r="L248" s="10" t="n"/>
      <c r="M248" s="10" t="n"/>
      <c r="N248" s="10" t="n"/>
      <c r="O248" s="10" t="n"/>
      <c r="P248" s="10" t="n"/>
      <c r="Q248" s="10" t="inlineStr">
        <is>
          <t>❌ Introuvable sur LinkedIn</t>
        </is>
      </c>
      <c r="R248" s="13" t="n"/>
    </row>
    <row r="249" ht="15.75" customHeight="1" s="24">
      <c r="A249" s="6" t="n">
        <v>99</v>
      </c>
      <c r="B249" s="6" t="inlineStr">
        <is>
          <t>Tiago</t>
        </is>
      </c>
      <c r="C249" s="6" t="inlineStr">
        <is>
          <t>CANTO DOS SANDOS</t>
        </is>
      </c>
      <c r="D249" s="6" t="n">
        <v>2024</v>
      </c>
      <c r="E249" s="6" t="inlineStr">
        <is>
          <t>RH</t>
        </is>
      </c>
      <c r="F249" s="6" t="inlineStr">
        <is>
          <t>Bénévole</t>
        </is>
      </c>
      <c r="G249" s="6" t="inlineStr">
        <is>
          <t>2023-08-23</t>
        </is>
      </c>
      <c r="H249" s="6" t="inlineStr">
        <is>
          <t>2024-03-15</t>
        </is>
      </c>
      <c r="I249" s="6" t="n"/>
      <c r="J249" s="10" t="n"/>
      <c r="K249" s="13" t="n"/>
      <c r="L249" s="10" t="n"/>
      <c r="M249" s="10" t="n"/>
      <c r="N249" s="10" t="n"/>
      <c r="O249" s="10" t="n"/>
      <c r="P249" s="10" t="n"/>
      <c r="Q249" s="10" t="inlineStr">
        <is>
          <t>❌ Introuvable sur LinkedIn</t>
        </is>
      </c>
      <c r="R249" s="13" t="n"/>
    </row>
    <row r="250" ht="15.75" customHeight="1" s="24">
      <c r="A250" s="6" t="n">
        <v>101</v>
      </c>
      <c r="B250" s="6" t="inlineStr">
        <is>
          <t>Clémentine</t>
        </is>
      </c>
      <c r="C250" s="6" t="inlineStr">
        <is>
          <t>CARBILLET</t>
        </is>
      </c>
      <c r="D250" s="6" t="n">
        <v>2024</v>
      </c>
      <c r="E250" s="6" t="inlineStr">
        <is>
          <t>Traductrice</t>
        </is>
      </c>
      <c r="F250" s="6" t="inlineStr">
        <is>
          <t>Bénévole</t>
        </is>
      </c>
      <c r="G250" s="6" t="inlineStr">
        <is>
          <t>2024-10-14</t>
        </is>
      </c>
      <c r="H250" s="6" t="inlineStr">
        <is>
          <t>2025-05-02</t>
        </is>
      </c>
      <c r="I250" s="6" t="n"/>
      <c r="J250" s="10" t="n"/>
      <c r="K250" s="13" t="n"/>
      <c r="L250" s="10" t="n"/>
      <c r="M250" s="10" t="n"/>
      <c r="N250" s="10" t="n"/>
      <c r="O250" s="10" t="n"/>
      <c r="P250" s="10" t="n"/>
      <c r="Q250" s="10" t="inlineStr">
        <is>
          <t>❌ Introuvable sur LinkedIn</t>
        </is>
      </c>
      <c r="R250" s="13" t="inlineStr">
        <is>
          <t>Profil LinkedIn trouvé mais infos insuffisantes</t>
        </is>
      </c>
    </row>
    <row r="251" ht="15.75" customHeight="1" s="24">
      <c r="A251" s="6" t="n">
        <v>105</v>
      </c>
      <c r="B251" s="6" t="inlineStr">
        <is>
          <t>Emir Ben</t>
        </is>
      </c>
      <c r="C251" s="6" t="inlineStr">
        <is>
          <t>CHAABENE</t>
        </is>
      </c>
      <c r="D251" s="6" t="n">
        <v>2024</v>
      </c>
      <c r="E251" s="6" t="inlineStr">
        <is>
          <t>Coordinateur cartographie</t>
        </is>
      </c>
      <c r="F251" s="6" t="inlineStr">
        <is>
          <t>Conventioné</t>
        </is>
      </c>
      <c r="G251" s="6" t="inlineStr">
        <is>
          <t>2024-12-01</t>
        </is>
      </c>
      <c r="H251" s="6" t="inlineStr">
        <is>
          <t>2025-02-28</t>
        </is>
      </c>
      <c r="I251" s="6" t="n"/>
      <c r="J251" s="10" t="n"/>
      <c r="K251" s="13" t="inlineStr">
        <is>
          <t>Ingénieur Géomaticien Topographe / Geomatics and Surveyor Engineer</t>
        </is>
      </c>
      <c r="L251" s="10" t="inlineStr">
        <is>
          <t>Geomapping</t>
        </is>
      </c>
      <c r="M251" s="10" t="inlineStr">
        <is>
          <t>Tunis</t>
        </is>
      </c>
      <c r="N251" s="10" t="inlineStr">
        <is>
          <t>Tunisie</t>
        </is>
      </c>
      <c r="O251" s="10" t="inlineStr">
        <is>
          <t>Conseil / Audit</t>
        </is>
      </c>
      <c r="P251" s="10" t="inlineStr">
        <is>
          <t>https://www.linkedin.com/in/emir-ben-chaabene/</t>
        </is>
      </c>
      <c r="Q251" s="10" t="inlineStr">
        <is>
          <t>✅ Enrichi</t>
        </is>
      </c>
      <c r="R251" s="13" t="n"/>
    </row>
    <row r="252" ht="15.75" customHeight="1" s="24">
      <c r="A252" s="6" t="n">
        <v>112</v>
      </c>
      <c r="B252" s="6" t="inlineStr">
        <is>
          <t>Ahmed</t>
        </is>
      </c>
      <c r="C252" s="6" t="inlineStr">
        <is>
          <t>CHRAYET</t>
        </is>
      </c>
      <c r="D252" s="6" t="n">
        <v>2024</v>
      </c>
      <c r="E252" s="6" t="inlineStr">
        <is>
          <t>Coordinateur GCBO</t>
        </is>
      </c>
      <c r="F252" s="6" t="inlineStr">
        <is>
          <t>Bénévole</t>
        </is>
      </c>
      <c r="G252" s="6" t="inlineStr">
        <is>
          <t>2024-07-15</t>
        </is>
      </c>
      <c r="H252" s="6" t="inlineStr">
        <is>
          <t>2025-01-18</t>
        </is>
      </c>
      <c r="I252" s="6" t="n"/>
      <c r="J252" s="10" t="n"/>
      <c r="K252" s="13" t="n"/>
      <c r="L252" s="10" t="n"/>
      <c r="M252" s="10" t="n"/>
      <c r="N252" s="10" t="n"/>
      <c r="O252" s="10" t="n"/>
      <c r="P252" s="10" t="n"/>
      <c r="Q252" s="10" t="inlineStr">
        <is>
          <t>🟡 Profil privé</t>
        </is>
      </c>
      <c r="R252" s="13" t="inlineStr">
        <is>
          <t>Profil LinkedIn trouvé mais infos insuffisantes</t>
        </is>
      </c>
    </row>
    <row r="253" ht="15.75" customHeight="1" s="24">
      <c r="A253" s="6" t="n">
        <v>114</v>
      </c>
      <c r="B253" s="6" t="inlineStr">
        <is>
          <t>Bill James</t>
        </is>
      </c>
      <c r="C253" s="6" t="inlineStr">
        <is>
          <t>CHRYSOSTOME</t>
        </is>
      </c>
      <c r="D253" s="6" t="n">
        <v>2024</v>
      </c>
      <c r="E253" s="6" t="inlineStr">
        <is>
          <t>Chargé de communication-marketing</t>
        </is>
      </c>
      <c r="F253" s="6" t="inlineStr">
        <is>
          <t>Bénévole</t>
        </is>
      </c>
      <c r="G253" s="6" t="inlineStr">
        <is>
          <t>2025-02-03</t>
        </is>
      </c>
      <c r="H253" s="6" t="inlineStr">
        <is>
          <t>2025-08-08</t>
        </is>
      </c>
      <c r="I253" s="6" t="n"/>
      <c r="J253" s="10" t="n"/>
      <c r="K253" s="13" t="n"/>
      <c r="L253" s="10" t="n"/>
      <c r="M253" s="10" t="n"/>
      <c r="N253" s="10" t="n"/>
      <c r="O253" s="10" t="n"/>
      <c r="P253" s="10" t="n"/>
      <c r="Q253" s="10" t="inlineStr">
        <is>
          <t>⬜ À enrichir</t>
        </is>
      </c>
      <c r="R253" s="13" t="n"/>
    </row>
    <row r="254" ht="15.75" customHeight="1" s="24">
      <c r="A254" s="6" t="n">
        <v>117</v>
      </c>
      <c r="B254" s="6" t="inlineStr">
        <is>
          <t>Estelle</t>
        </is>
      </c>
      <c r="C254" s="6" t="inlineStr">
        <is>
          <t>CLAMY</t>
        </is>
      </c>
      <c r="D254" s="6" t="n">
        <v>2024</v>
      </c>
      <c r="E254" s="6" t="inlineStr">
        <is>
          <t>Traductrice</t>
        </is>
      </c>
      <c r="F254" s="6" t="inlineStr">
        <is>
          <t>Bénévole</t>
        </is>
      </c>
      <c r="G254" s="6" t="inlineStr">
        <is>
          <t>2024-07-29</t>
        </is>
      </c>
      <c r="H254" s="6" t="inlineStr">
        <is>
          <t>2024-11-01</t>
        </is>
      </c>
      <c r="I254" s="6" t="n"/>
      <c r="J254" s="10" t="n"/>
      <c r="K254" s="13" t="n"/>
      <c r="L254" s="10" t="n"/>
      <c r="M254" s="10" t="n"/>
      <c r="N254" s="10" t="n"/>
      <c r="O254" s="10" t="n"/>
      <c r="P254" s="10" t="n"/>
      <c r="Q254" s="10" t="inlineStr">
        <is>
          <t>⬜ À enrichir</t>
        </is>
      </c>
      <c r="R254" s="13" t="n"/>
    </row>
    <row r="255" ht="15.75" customHeight="1" s="24">
      <c r="A255" s="6" t="n">
        <v>127</v>
      </c>
      <c r="B255" s="6" t="inlineStr">
        <is>
          <t>Liliana</t>
        </is>
      </c>
      <c r="C255" s="6" t="inlineStr">
        <is>
          <t>DE OLIVIERA</t>
        </is>
      </c>
      <c r="D255" s="6" t="n">
        <v>2024</v>
      </c>
      <c r="E255" s="6" t="inlineStr">
        <is>
          <t>RH</t>
        </is>
      </c>
      <c r="F255" s="6" t="inlineStr">
        <is>
          <t>Bénévole</t>
        </is>
      </c>
      <c r="G255" s="6" t="inlineStr">
        <is>
          <t>2024-01-05</t>
        </is>
      </c>
      <c r="H255" s="6" t="inlineStr">
        <is>
          <t>2024-08-11</t>
        </is>
      </c>
      <c r="I255" s="6" t="n"/>
      <c r="J255" s="10" t="n"/>
      <c r="K255" s="13" t="n"/>
      <c r="L255" s="10" t="n"/>
      <c r="M255" s="10" t="n"/>
      <c r="N255" s="10" t="n"/>
      <c r="O255" s="10" t="n"/>
      <c r="P255" s="10" t="n"/>
      <c r="Q255" s="10" t="inlineStr">
        <is>
          <t>⬜ À enrichir</t>
        </is>
      </c>
      <c r="R255" s="13" t="n"/>
    </row>
    <row r="256" ht="15.75" customHeight="1" s="24">
      <c r="A256" s="6" t="n">
        <v>129</v>
      </c>
      <c r="B256" s="6" t="inlineStr">
        <is>
          <t>Florie</t>
        </is>
      </c>
      <c r="C256" s="6" t="inlineStr">
        <is>
          <t>DECItRE</t>
        </is>
      </c>
      <c r="D256" s="6" t="n">
        <v>2024</v>
      </c>
      <c r="E256" s="6" t="inlineStr">
        <is>
          <t>IT</t>
        </is>
      </c>
      <c r="F256" s="6" t="inlineStr">
        <is>
          <t>Conventioné</t>
        </is>
      </c>
      <c r="G256" s="6" t="inlineStr">
        <is>
          <t>2024-03-25</t>
        </is>
      </c>
      <c r="H256" s="6" t="inlineStr">
        <is>
          <t>2024-07-05</t>
        </is>
      </c>
      <c r="I256" s="6" t="n"/>
      <c r="J256" s="10" t="n"/>
      <c r="K256" s="13" t="n"/>
      <c r="L256" s="10" t="n"/>
      <c r="M256" s="10" t="n"/>
      <c r="N256" s="10" t="n"/>
      <c r="O256" s="10" t="n"/>
      <c r="P256" s="10" t="n"/>
      <c r="Q256" s="10" t="inlineStr">
        <is>
          <t>⬜ À enrichir</t>
        </is>
      </c>
      <c r="R256" s="13" t="n"/>
    </row>
    <row r="257" ht="15.75" customHeight="1" s="24">
      <c r="A257" s="6" t="n">
        <v>133</v>
      </c>
      <c r="B257" s="6" t="inlineStr">
        <is>
          <t>Axel</t>
        </is>
      </c>
      <c r="C257" s="6" t="inlineStr">
        <is>
          <t>DELANNOY</t>
        </is>
      </c>
      <c r="D257" s="6" t="n">
        <v>2024</v>
      </c>
      <c r="E257" s="6" t="inlineStr">
        <is>
          <t>IT</t>
        </is>
      </c>
      <c r="F257" s="6" t="inlineStr">
        <is>
          <t>Conventioné</t>
        </is>
      </c>
      <c r="G257" s="6" t="inlineStr">
        <is>
          <t>2024-07-29</t>
        </is>
      </c>
      <c r="H257" s="6" t="inlineStr">
        <is>
          <t>2024-10-25</t>
        </is>
      </c>
      <c r="I257" s="6" t="n"/>
      <c r="J257" s="10" t="n"/>
      <c r="K257" s="13" t="n"/>
      <c r="L257" s="10" t="n"/>
      <c r="M257" s="10" t="n"/>
      <c r="N257" s="10" t="n"/>
      <c r="O257" s="10" t="n"/>
      <c r="P257" s="10" t="n"/>
      <c r="Q257" s="10" t="inlineStr">
        <is>
          <t>⬜ À enrichir</t>
        </is>
      </c>
      <c r="R257" s="13" t="n"/>
    </row>
    <row r="258" ht="15.75" customHeight="1" s="24">
      <c r="A258" s="6" t="n">
        <v>134</v>
      </c>
      <c r="B258" s="6" t="inlineStr">
        <is>
          <t>Ethan</t>
        </is>
      </c>
      <c r="C258" s="6" t="inlineStr">
        <is>
          <t>DELANNOY</t>
        </is>
      </c>
      <c r="D258" s="6" t="n">
        <v>2024</v>
      </c>
      <c r="E258" s="6" t="inlineStr">
        <is>
          <t>IT</t>
        </is>
      </c>
      <c r="F258" s="6" t="inlineStr">
        <is>
          <t>Conventioné</t>
        </is>
      </c>
      <c r="G258" s="6" t="inlineStr">
        <is>
          <t>2024-07-29</t>
        </is>
      </c>
      <c r="H258" s="6" t="inlineStr">
        <is>
          <t>2024-10-25</t>
        </is>
      </c>
      <c r="I258" s="6" t="n"/>
      <c r="J258" s="10" t="n"/>
      <c r="K258" s="13" t="n"/>
      <c r="L258" s="10" t="n"/>
      <c r="M258" s="10" t="n"/>
      <c r="N258" s="10" t="n"/>
      <c r="O258" s="10" t="n"/>
      <c r="P258" s="10" t="n"/>
      <c r="Q258" s="10" t="inlineStr">
        <is>
          <t>⬜ À enrichir</t>
        </is>
      </c>
      <c r="R258" s="13" t="n"/>
    </row>
    <row r="259" ht="15.75" customHeight="1" s="24">
      <c r="A259" s="6" t="n">
        <v>137</v>
      </c>
      <c r="B259" s="6" t="inlineStr">
        <is>
          <t>Genc</t>
        </is>
      </c>
      <c r="C259" s="6" t="inlineStr">
        <is>
          <t>DEMI</t>
        </is>
      </c>
      <c r="D259" s="6" t="n">
        <v>2024</v>
      </c>
      <c r="E259" s="6" t="inlineStr">
        <is>
          <t>IT</t>
        </is>
      </c>
      <c r="F259" s="6" t="inlineStr">
        <is>
          <t>Conventioné</t>
        </is>
      </c>
      <c r="G259" s="6" t="inlineStr">
        <is>
          <t>2024-10-14</t>
        </is>
      </c>
      <c r="H259" s="6" t="inlineStr">
        <is>
          <t>2025-01-31</t>
        </is>
      </c>
      <c r="I259" s="6" t="n"/>
      <c r="J259" s="10" t="n"/>
      <c r="K259" s="13" t="n"/>
      <c r="L259" s="10" t="n"/>
      <c r="M259" s="10" t="n"/>
      <c r="N259" s="10" t="n"/>
      <c r="O259" s="10" t="n"/>
      <c r="P259" s="10" t="n"/>
      <c r="Q259" s="10" t="inlineStr">
        <is>
          <t>⬜ À enrichir</t>
        </is>
      </c>
      <c r="R259" s="13" t="n"/>
    </row>
    <row r="260" ht="15.75" customHeight="1" s="24">
      <c r="A260" s="6" t="n">
        <v>141</v>
      </c>
      <c r="B260" s="6" t="inlineStr">
        <is>
          <t>Céline</t>
        </is>
      </c>
      <c r="C260" s="6" t="inlineStr">
        <is>
          <t>DEVOS</t>
        </is>
      </c>
      <c r="D260" s="6" t="n">
        <v>2024</v>
      </c>
      <c r="E260" s="6" t="inlineStr">
        <is>
          <t>IT</t>
        </is>
      </c>
      <c r="F260" s="6" t="inlineStr">
        <is>
          <t>Conventioné</t>
        </is>
      </c>
      <c r="G260" s="6" t="inlineStr">
        <is>
          <t>2024-07-29</t>
        </is>
      </c>
      <c r="H260" s="6" t="inlineStr">
        <is>
          <t>2024-10-25</t>
        </is>
      </c>
      <c r="I260" s="6" t="n"/>
      <c r="J260" s="10" t="n"/>
      <c r="K260" s="13" t="n"/>
      <c r="L260" s="10" t="n"/>
      <c r="M260" s="10" t="n"/>
      <c r="N260" s="10" t="n"/>
      <c r="O260" s="10" t="n"/>
      <c r="P260" s="10" t="n"/>
      <c r="Q260" s="10" t="inlineStr">
        <is>
          <t>⬜ À enrichir</t>
        </is>
      </c>
      <c r="R260" s="13" t="n"/>
    </row>
    <row r="261" ht="15.75" customHeight="1" s="24">
      <c r="A261" s="6" t="n">
        <v>142</v>
      </c>
      <c r="B261" s="6" t="inlineStr">
        <is>
          <t>Hudo</t>
        </is>
      </c>
      <c r="C261" s="6" t="inlineStr">
        <is>
          <t>DI TOMASO</t>
        </is>
      </c>
      <c r="D261" s="6" t="n">
        <v>2024</v>
      </c>
      <c r="E261" s="6" t="inlineStr">
        <is>
          <t>ingénieur</t>
        </is>
      </c>
      <c r="F261" s="6" t="inlineStr">
        <is>
          <t>Conventioné</t>
        </is>
      </c>
      <c r="G261" s="6" t="inlineStr">
        <is>
          <t>2024-04-29</t>
        </is>
      </c>
      <c r="H261" s="6" t="inlineStr">
        <is>
          <t>2024-08-30</t>
        </is>
      </c>
      <c r="I261" s="6" t="n"/>
      <c r="J261" s="10" t="n"/>
      <c r="K261" s="13" t="n"/>
      <c r="L261" s="10" t="n"/>
      <c r="M261" s="10" t="n"/>
      <c r="N261" s="10" t="n"/>
      <c r="O261" s="10" t="n"/>
      <c r="P261" s="10" t="n"/>
      <c r="Q261" s="10" t="inlineStr">
        <is>
          <t>⬜ À enrichir</t>
        </is>
      </c>
      <c r="R261" s="13" t="n"/>
    </row>
    <row r="262" ht="15.75" customHeight="1" s="24">
      <c r="A262" s="6" t="n">
        <v>145</v>
      </c>
      <c r="B262" s="6" t="inlineStr">
        <is>
          <t>Farmato</t>
        </is>
      </c>
      <c r="C262" s="6" t="inlineStr">
        <is>
          <t>DIALLO</t>
        </is>
      </c>
      <c r="D262" s="6" t="n">
        <v>2024</v>
      </c>
      <c r="E262" s="6" t="inlineStr">
        <is>
          <t>RH</t>
        </is>
      </c>
      <c r="F262" s="6" t="inlineStr">
        <is>
          <t>Bénévole</t>
        </is>
      </c>
      <c r="G262" s="6" t="inlineStr">
        <is>
          <t>2024-09-25</t>
        </is>
      </c>
      <c r="H262" s="6" t="inlineStr">
        <is>
          <t>2025-04-28</t>
        </is>
      </c>
      <c r="I262" s="6" t="n"/>
      <c r="J262" s="10" t="n"/>
      <c r="K262" s="13" t="n"/>
      <c r="L262" s="10" t="n"/>
      <c r="M262" s="10" t="n"/>
      <c r="N262" s="10" t="n"/>
      <c r="O262" s="10" t="n"/>
      <c r="P262" s="10" t="n"/>
      <c r="Q262" s="10" t="inlineStr">
        <is>
          <t>⬜ À enrichir</t>
        </is>
      </c>
      <c r="R262" s="13" t="n"/>
    </row>
    <row r="263" ht="15.75" customHeight="1" s="24">
      <c r="A263" s="6" t="n">
        <v>149</v>
      </c>
      <c r="B263" s="6" t="inlineStr">
        <is>
          <t>Ahmadou</t>
        </is>
      </c>
      <c r="C263" s="6" t="inlineStr">
        <is>
          <t>DIOP</t>
        </is>
      </c>
      <c r="D263" s="6" t="n">
        <v>2024</v>
      </c>
      <c r="E263" s="6" t="inlineStr">
        <is>
          <t>Contrôleur de gestion</t>
        </is>
      </c>
      <c r="F263" s="6" t="inlineStr">
        <is>
          <t>Conventioné</t>
        </is>
      </c>
      <c r="G263" s="6" t="inlineStr">
        <is>
          <t>2024-06-03</t>
        </is>
      </c>
      <c r="H263" s="6" t="inlineStr">
        <is>
          <t>2024-09-06</t>
        </is>
      </c>
      <c r="I263" s="6" t="n"/>
      <c r="J263" s="10" t="n"/>
      <c r="K263" s="13" t="n"/>
      <c r="L263" s="10" t="n"/>
      <c r="M263" s="10" t="n"/>
      <c r="N263" s="10" t="n"/>
      <c r="O263" s="10" t="n"/>
      <c r="P263" s="10" t="n"/>
      <c r="Q263" s="10" t="inlineStr">
        <is>
          <t>⬜ À enrichir</t>
        </is>
      </c>
      <c r="R263" s="13" t="n"/>
    </row>
    <row r="264" ht="15.75" customHeight="1" s="24">
      <c r="A264" s="6" t="n">
        <v>152</v>
      </c>
      <c r="B264" s="6" t="inlineStr">
        <is>
          <t>Dramane</t>
        </is>
      </c>
      <c r="C264" s="6" t="inlineStr">
        <is>
          <t>DJIRE</t>
        </is>
      </c>
      <c r="D264" s="6" t="n">
        <v>2024</v>
      </c>
      <c r="E264" s="6" t="inlineStr">
        <is>
          <t>Coordinateur technique</t>
        </is>
      </c>
      <c r="F264" s="6" t="inlineStr">
        <is>
          <t>Bénévole</t>
        </is>
      </c>
      <c r="G264" s="6" t="inlineStr">
        <is>
          <t>2024-06-11</t>
        </is>
      </c>
      <c r="H264" s="6" t="inlineStr">
        <is>
          <t>2024-08-01</t>
        </is>
      </c>
      <c r="I264" s="6" t="n"/>
      <c r="J264" s="10" t="n"/>
      <c r="K264" s="13" t="n"/>
      <c r="L264" s="10" t="n"/>
      <c r="M264" s="10" t="n"/>
      <c r="N264" s="10" t="n"/>
      <c r="O264" s="10" t="n"/>
      <c r="P264" s="10" t="n"/>
      <c r="Q264" s="10" t="inlineStr">
        <is>
          <t>⬜ À enrichir</t>
        </is>
      </c>
      <c r="R264" s="13" t="n"/>
    </row>
    <row r="265" ht="15.75" customHeight="1" s="24">
      <c r="A265" s="6" t="n">
        <v>157</v>
      </c>
      <c r="B265" s="6" t="inlineStr">
        <is>
          <t>Enzo</t>
        </is>
      </c>
      <c r="C265" s="6" t="inlineStr">
        <is>
          <t>DUMEZ</t>
        </is>
      </c>
      <c r="D265" s="6" t="n">
        <v>2024</v>
      </c>
      <c r="E265" s="6" t="inlineStr">
        <is>
          <t>IT</t>
        </is>
      </c>
      <c r="F265" s="6" t="inlineStr">
        <is>
          <t>Conventioné</t>
        </is>
      </c>
      <c r="G265" s="6" t="inlineStr">
        <is>
          <t>2024-02-19</t>
        </is>
      </c>
      <c r="H265" s="6" t="inlineStr">
        <is>
          <t>2024-05-17</t>
        </is>
      </c>
      <c r="I265" s="6" t="n"/>
      <c r="J265" s="10" t="n"/>
      <c r="K265" s="13" t="n"/>
      <c r="L265" s="10" t="n"/>
      <c r="M265" s="10" t="n"/>
      <c r="N265" s="10" t="n"/>
      <c r="O265" s="10" t="n"/>
      <c r="P265" s="10" t="n"/>
      <c r="Q265" s="10" t="inlineStr">
        <is>
          <t>⬜ À enrichir</t>
        </is>
      </c>
      <c r="R265" s="13" t="n"/>
    </row>
    <row r="266" ht="15.75" customHeight="1" s="24">
      <c r="A266" s="6" t="n">
        <v>158</v>
      </c>
      <c r="B266" s="6" t="inlineStr">
        <is>
          <t>Anna</t>
        </is>
      </c>
      <c r="C266" s="6" t="inlineStr">
        <is>
          <t>DUPERRAY</t>
        </is>
      </c>
      <c r="D266" s="6" t="n">
        <v>2024</v>
      </c>
      <c r="E266" s="6" t="inlineStr">
        <is>
          <t>RH</t>
        </is>
      </c>
      <c r="F266" s="6" t="inlineStr">
        <is>
          <t>Conventioné</t>
        </is>
      </c>
      <c r="G266" s="6" t="inlineStr">
        <is>
          <t>2024-03-13</t>
        </is>
      </c>
      <c r="H266" s="6" t="inlineStr">
        <is>
          <t>2024-09-03</t>
        </is>
      </c>
      <c r="I266" s="6" t="n"/>
      <c r="J266" s="10" t="n"/>
      <c r="K266" s="13" t="n"/>
      <c r="L266" s="10" t="n"/>
      <c r="M266" s="10" t="n"/>
      <c r="N266" s="10" t="n"/>
      <c r="O266" s="10" t="n"/>
      <c r="P266" s="10" t="n"/>
      <c r="Q266" s="10" t="inlineStr">
        <is>
          <t>⬜ À enrichir</t>
        </is>
      </c>
      <c r="R266" s="13" t="n"/>
    </row>
    <row r="267" ht="15.75" customHeight="1" s="24">
      <c r="A267" s="6" t="n">
        <v>159</v>
      </c>
      <c r="B267" s="6" t="inlineStr">
        <is>
          <t>Nikita</t>
        </is>
      </c>
      <c r="C267" s="6" t="inlineStr">
        <is>
          <t>DUZHENKO</t>
        </is>
      </c>
      <c r="D267" s="6" t="n">
        <v>2024</v>
      </c>
      <c r="E267" s="6" t="inlineStr">
        <is>
          <t>Traducteur francais anglais/russe</t>
        </is>
      </c>
      <c r="F267" s="6" t="inlineStr">
        <is>
          <t>Conventioné</t>
        </is>
      </c>
      <c r="G267" s="6" t="inlineStr">
        <is>
          <t>2024-06-18</t>
        </is>
      </c>
      <c r="H267" s="6" t="inlineStr">
        <is>
          <t>2024-08-30</t>
        </is>
      </c>
      <c r="I267" s="6" t="n"/>
      <c r="J267" s="10" t="n"/>
      <c r="K267" s="13" t="n"/>
      <c r="L267" s="10" t="n"/>
      <c r="M267" s="10" t="n"/>
      <c r="N267" s="10" t="n"/>
      <c r="O267" s="10" t="n"/>
      <c r="P267" s="10" t="n"/>
      <c r="Q267" s="10" t="inlineStr">
        <is>
          <t>⬜ À enrichir</t>
        </is>
      </c>
      <c r="R267" s="13" t="n"/>
    </row>
    <row r="268" ht="15.75" customHeight="1" s="24">
      <c r="A268" s="6" t="n">
        <v>160</v>
      </c>
      <c r="B268" s="6" t="inlineStr">
        <is>
          <t>Yannick</t>
        </is>
      </c>
      <c r="C268" s="6" t="inlineStr">
        <is>
          <t>Deasse</t>
        </is>
      </c>
      <c r="D268" s="6" t="n">
        <v>2024</v>
      </c>
      <c r="E268" s="6" t="inlineStr">
        <is>
          <t>Auditeur vert</t>
        </is>
      </c>
      <c r="F268" s="6" t="inlineStr">
        <is>
          <t>Bénévole</t>
        </is>
      </c>
      <c r="G268" s="6" t="inlineStr">
        <is>
          <t>2024-02-20</t>
        </is>
      </c>
      <c r="H268" s="6" t="inlineStr">
        <is>
          <t>2024-08-16</t>
        </is>
      </c>
      <c r="I268" s="6" t="n"/>
      <c r="J268" s="10" t="n"/>
      <c r="K268" s="13" t="n"/>
      <c r="L268" s="10" t="n"/>
      <c r="M268" s="10" t="n"/>
      <c r="N268" s="10" t="n"/>
      <c r="O268" s="10" t="n"/>
      <c r="P268" s="10" t="n"/>
      <c r="Q268" s="10" t="inlineStr">
        <is>
          <t>⬜ À enrichir</t>
        </is>
      </c>
      <c r="R268" s="13" t="n"/>
    </row>
    <row r="269" ht="15.75" customHeight="1" s="24">
      <c r="A269" s="6" t="n">
        <v>161</v>
      </c>
      <c r="B269" s="6" t="inlineStr">
        <is>
          <t>Amath</t>
        </is>
      </c>
      <c r="C269" s="6" t="inlineStr">
        <is>
          <t>Diatta</t>
        </is>
      </c>
      <c r="D269" s="6" t="n">
        <v>2024</v>
      </c>
      <c r="E269" s="6" t="inlineStr">
        <is>
          <t>UX/UI Designer</t>
        </is>
      </c>
      <c r="F269" s="6" t="inlineStr">
        <is>
          <t>Bénévole</t>
        </is>
      </c>
      <c r="G269" s="6" t="inlineStr">
        <is>
          <t>2024-01-25</t>
        </is>
      </c>
      <c r="H269" s="6" t="inlineStr">
        <is>
          <t>2024-04-26</t>
        </is>
      </c>
      <c r="I269" s="6" t="n"/>
      <c r="J269" s="10" t="n"/>
      <c r="K269" s="13" t="n"/>
      <c r="L269" s="10" t="n"/>
      <c r="M269" s="10" t="n"/>
      <c r="N269" s="10" t="n"/>
      <c r="O269" s="10" t="n"/>
      <c r="P269" s="10" t="n"/>
      <c r="Q269" s="10" t="inlineStr">
        <is>
          <t>⬜ À enrichir</t>
        </is>
      </c>
      <c r="R269" s="13" t="n"/>
    </row>
    <row r="270" ht="15.75" customHeight="1" s="24">
      <c r="A270" s="6" t="n">
        <v>162</v>
      </c>
      <c r="B270" s="6" t="inlineStr">
        <is>
          <t>Ousmane</t>
        </is>
      </c>
      <c r="C270" s="6" t="inlineStr">
        <is>
          <t>Djiré</t>
        </is>
      </c>
      <c r="D270" s="6" t="n">
        <v>2024</v>
      </c>
      <c r="E270" s="6" t="inlineStr">
        <is>
          <t>data analyst</t>
        </is>
      </c>
      <c r="F270" s="6" t="inlineStr">
        <is>
          <t>Conventioné</t>
        </is>
      </c>
      <c r="G270" s="6" t="inlineStr">
        <is>
          <t>2023-03-04</t>
        </is>
      </c>
      <c r="H270" s="6" t="inlineStr">
        <is>
          <t>2024-08-30</t>
        </is>
      </c>
      <c r="I270" s="6" t="n"/>
      <c r="J270" s="10" t="n"/>
      <c r="K270" s="13" t="n"/>
      <c r="L270" s="10" t="n"/>
      <c r="M270" s="10" t="n"/>
      <c r="N270" s="10" t="n"/>
      <c r="O270" s="10" t="n"/>
      <c r="P270" s="10" t="n"/>
      <c r="Q270" s="10" t="inlineStr">
        <is>
          <t>⬜ À enrichir</t>
        </is>
      </c>
      <c r="R270" s="13" t="n"/>
    </row>
    <row r="271" ht="15.75" customHeight="1" s="24">
      <c r="A271" s="6" t="n">
        <v>164</v>
      </c>
      <c r="B271" s="6" t="inlineStr">
        <is>
          <t>Adrien</t>
        </is>
      </c>
      <c r="C271" s="6" t="inlineStr">
        <is>
          <t>Déturche</t>
        </is>
      </c>
      <c r="D271" s="6" t="n">
        <v>2024</v>
      </c>
      <c r="E271" s="6" t="inlineStr">
        <is>
          <t>rh</t>
        </is>
      </c>
      <c r="F271" s="6" t="inlineStr">
        <is>
          <t>Bénévole</t>
        </is>
      </c>
      <c r="G271" s="6" t="inlineStr">
        <is>
          <t>2024-09-18</t>
        </is>
      </c>
      <c r="H271" s="6" t="inlineStr">
        <is>
          <t>2025-04-04</t>
        </is>
      </c>
      <c r="I271" s="6" t="inlineStr">
        <is>
          <t>Alumni gratuit</t>
        </is>
      </c>
      <c r="J271" s="10" t="n"/>
      <c r="K271" s="13" t="n"/>
      <c r="L271" s="10" t="n"/>
      <c r="M271" s="10" t="n"/>
      <c r="N271" s="10" t="n"/>
      <c r="O271" s="10" t="n"/>
      <c r="P271" s="10" t="n"/>
      <c r="Q271" s="10" t="inlineStr">
        <is>
          <t>⬜ À enrichir</t>
        </is>
      </c>
      <c r="R271" s="13" t="n"/>
    </row>
    <row r="272" ht="15.75" customHeight="1" s="24">
      <c r="A272" s="6" t="n">
        <v>165</v>
      </c>
      <c r="B272" s="6" t="inlineStr">
        <is>
          <t>David</t>
        </is>
      </c>
      <c r="C272" s="6" t="inlineStr">
        <is>
          <t>EKLOU</t>
        </is>
      </c>
      <c r="D272" s="6" t="n">
        <v>2024</v>
      </c>
      <c r="E272" s="6" t="inlineStr">
        <is>
          <t>Coordinateur chargé de projet Coaching télétravail</t>
        </is>
      </c>
      <c r="F272" s="6" t="inlineStr">
        <is>
          <t>Bénévole</t>
        </is>
      </c>
      <c r="G272" s="6" t="inlineStr">
        <is>
          <t>2024-02-06</t>
        </is>
      </c>
      <c r="H272" s="6" t="inlineStr">
        <is>
          <t>2024-08-02</t>
        </is>
      </c>
      <c r="I272" s="6" t="n"/>
      <c r="J272" s="10" t="n"/>
      <c r="K272" s="13" t="n"/>
      <c r="L272" s="10" t="n"/>
      <c r="M272" s="10" t="n"/>
      <c r="N272" s="10" t="n"/>
      <c r="O272" s="10" t="n"/>
      <c r="P272" s="10" t="n"/>
      <c r="Q272" s="10" t="inlineStr">
        <is>
          <t>⬜ À enrichir</t>
        </is>
      </c>
      <c r="R272" s="13" t="n"/>
    </row>
    <row r="273" ht="15.75" customHeight="1" s="24">
      <c r="A273" s="6" t="n">
        <v>167</v>
      </c>
      <c r="B273" s="6" t="inlineStr">
        <is>
          <t>Mohammed</t>
        </is>
      </c>
      <c r="C273" s="6" t="inlineStr">
        <is>
          <t>EL BOUBEKRI</t>
        </is>
      </c>
      <c r="D273" s="6" t="n">
        <v>2024</v>
      </c>
      <c r="E273" s="6" t="inlineStr">
        <is>
          <t>Coordinateur GCC et architecture durable</t>
        </is>
      </c>
      <c r="F273" s="6" t="inlineStr">
        <is>
          <t>Bénévole</t>
        </is>
      </c>
      <c r="G273" s="6" t="inlineStr">
        <is>
          <t>2024-07-02</t>
        </is>
      </c>
      <c r="H273" s="6" t="inlineStr">
        <is>
          <t>2025-01-10</t>
        </is>
      </c>
      <c r="I273" s="6" t="n"/>
      <c r="J273" s="10" t="n"/>
      <c r="K273" s="13" t="n"/>
      <c r="L273" s="10" t="n"/>
      <c r="M273" s="10" t="n"/>
      <c r="N273" s="10" t="n"/>
      <c r="O273" s="10" t="n"/>
      <c r="P273" s="10" t="n"/>
      <c r="Q273" s="10" t="inlineStr">
        <is>
          <t>⬜ À enrichir</t>
        </is>
      </c>
      <c r="R273" s="13" t="n"/>
    </row>
    <row r="274" ht="15.75" customHeight="1" s="24">
      <c r="A274" s="6" t="n">
        <v>171</v>
      </c>
      <c r="B274" s="6" t="inlineStr">
        <is>
          <t>Celine</t>
        </is>
      </c>
      <c r="C274" s="6" t="inlineStr">
        <is>
          <t>EMPTOZ-LACOTE</t>
        </is>
      </c>
      <c r="D274" s="6" t="n">
        <v>2024</v>
      </c>
      <c r="E274" s="6" t="inlineStr">
        <is>
          <t>IT</t>
        </is>
      </c>
      <c r="F274" s="6" t="inlineStr">
        <is>
          <t>Bénévole</t>
        </is>
      </c>
      <c r="G274" s="6" t="inlineStr">
        <is>
          <t>2024-01-15</t>
        </is>
      </c>
      <c r="H274" s="6" t="inlineStr">
        <is>
          <t>2024-07-16</t>
        </is>
      </c>
      <c r="I274" s="6" t="n"/>
      <c r="J274" s="10" t="n"/>
      <c r="K274" s="13" t="n"/>
      <c r="L274" s="10" t="n"/>
      <c r="M274" s="10" t="n"/>
      <c r="N274" s="10" t="n"/>
      <c r="O274" s="10" t="n"/>
      <c r="P274" s="10" t="n"/>
      <c r="Q274" s="10" t="inlineStr">
        <is>
          <t>⬜ À enrichir</t>
        </is>
      </c>
      <c r="R274" s="13" t="n"/>
    </row>
    <row r="275" ht="15.75" customHeight="1" s="24">
      <c r="A275" s="6" t="n">
        <v>181</v>
      </c>
      <c r="B275" s="6" t="inlineStr">
        <is>
          <t>Matthias</t>
        </is>
      </c>
      <c r="C275" s="6" t="inlineStr">
        <is>
          <t>FELLON</t>
        </is>
      </c>
      <c r="D275" s="6" t="n">
        <v>2024</v>
      </c>
      <c r="E275" s="6" t="inlineStr">
        <is>
          <t>IT</t>
        </is>
      </c>
      <c r="F275" s="6" t="inlineStr">
        <is>
          <t>Bénévole</t>
        </is>
      </c>
      <c r="G275" s="6" t="inlineStr">
        <is>
          <t>2024-07-29</t>
        </is>
      </c>
      <c r="H275" s="6" t="inlineStr">
        <is>
          <t>2024-10-25</t>
        </is>
      </c>
      <c r="I275" s="6" t="n"/>
      <c r="J275" s="10" t="n"/>
      <c r="K275" s="13" t="n"/>
      <c r="L275" s="10" t="n"/>
      <c r="M275" s="10" t="n"/>
      <c r="N275" s="10" t="n"/>
      <c r="O275" s="10" t="n"/>
      <c r="P275" s="10" t="n"/>
      <c r="Q275" s="10" t="inlineStr">
        <is>
          <t>⬜ À enrichir</t>
        </is>
      </c>
      <c r="R275" s="13" t="n"/>
    </row>
    <row r="276" ht="15.75" customHeight="1" s="24">
      <c r="A276" s="6" t="n">
        <v>185</v>
      </c>
      <c r="B276" s="6" t="inlineStr">
        <is>
          <t>Camille</t>
        </is>
      </c>
      <c r="C276" s="6" t="inlineStr">
        <is>
          <t>FILLON</t>
        </is>
      </c>
      <c r="D276" s="6" t="n">
        <v>2024</v>
      </c>
      <c r="E276" s="6" t="inlineStr">
        <is>
          <t>Traductrice</t>
        </is>
      </c>
      <c r="F276" s="6" t="inlineStr">
        <is>
          <t>Conventioné</t>
        </is>
      </c>
      <c r="G276" s="6" t="inlineStr">
        <is>
          <t>2024-06-24</t>
        </is>
      </c>
      <c r="H276" s="6" t="inlineStr">
        <is>
          <t>2024-10-04</t>
        </is>
      </c>
      <c r="I276" s="6" t="n"/>
      <c r="J276" s="10" t="n"/>
      <c r="K276" s="13" t="n"/>
      <c r="L276" s="10" t="n"/>
      <c r="M276" s="10" t="n"/>
      <c r="N276" s="10" t="n"/>
      <c r="O276" s="10" t="n"/>
      <c r="P276" s="10" t="n"/>
      <c r="Q276" s="10" t="inlineStr">
        <is>
          <t>⬜ À enrichir</t>
        </is>
      </c>
      <c r="R276" s="13" t="n"/>
    </row>
    <row r="277" ht="15.75" customHeight="1" s="24">
      <c r="A277" s="6" t="n">
        <v>186</v>
      </c>
      <c r="B277" s="6" t="inlineStr">
        <is>
          <t>Léa</t>
        </is>
      </c>
      <c r="C277" s="6" t="inlineStr">
        <is>
          <t>FONT</t>
        </is>
      </c>
      <c r="D277" s="6" t="n">
        <v>2024</v>
      </c>
      <c r="E277" s="6" t="inlineStr">
        <is>
          <t>RH</t>
        </is>
      </c>
      <c r="F277" s="6" t="inlineStr">
        <is>
          <t>Bénévole</t>
        </is>
      </c>
      <c r="G277" s="6" t="inlineStr">
        <is>
          <t>2024-02-07</t>
        </is>
      </c>
      <c r="H277" s="6" t="inlineStr">
        <is>
          <t>2024-08-09</t>
        </is>
      </c>
      <c r="I277" s="6" t="n"/>
      <c r="J277" s="10" t="n"/>
      <c r="K277" s="13" t="n"/>
      <c r="L277" s="10" t="n"/>
      <c r="M277" s="10" t="n"/>
      <c r="N277" s="10" t="n"/>
      <c r="O277" s="10" t="n"/>
      <c r="P277" s="10" t="n"/>
      <c r="Q277" s="10" t="inlineStr">
        <is>
          <t>⬜ À enrichir</t>
        </is>
      </c>
      <c r="R277" s="13" t="n"/>
    </row>
    <row r="278" ht="15.75" customHeight="1" s="24">
      <c r="A278" s="6" t="n">
        <v>192</v>
      </c>
      <c r="B278" s="6" t="inlineStr">
        <is>
          <t>Scarley</t>
        </is>
      </c>
      <c r="C278" s="6" t="inlineStr">
        <is>
          <t>Fabien</t>
        </is>
      </c>
      <c r="D278" s="6" t="n">
        <v>2024</v>
      </c>
      <c r="E278" s="6" t="inlineStr">
        <is>
          <t>STAGE ASSISTANT DE RECHERCHE ÉTUDE D'IMPACT ENVIRONNEMENTALE</t>
        </is>
      </c>
      <c r="F278" s="6" t="inlineStr">
        <is>
          <t>Conventioné</t>
        </is>
      </c>
      <c r="G278" s="6" t="inlineStr">
        <is>
          <t>2023-07-10</t>
        </is>
      </c>
      <c r="H278" s="6" t="inlineStr">
        <is>
          <t>2024-01-10</t>
        </is>
      </c>
      <c r="I278" s="6" t="n"/>
      <c r="J278" s="10" t="n"/>
      <c r="K278" s="13" t="n"/>
      <c r="L278" s="10" t="n"/>
      <c r="M278" s="10" t="n"/>
      <c r="N278" s="10" t="n"/>
      <c r="O278" s="10" t="n"/>
      <c r="P278" s="10" t="n"/>
      <c r="Q278" s="10" t="inlineStr">
        <is>
          <t>⬜ À enrichir</t>
        </is>
      </c>
      <c r="R278" s="13" t="n"/>
    </row>
    <row r="279" ht="15.75" customHeight="1" s="24">
      <c r="A279" s="6" t="n">
        <v>195</v>
      </c>
      <c r="B279" s="6" t="inlineStr">
        <is>
          <t>Christie</t>
        </is>
      </c>
      <c r="C279" s="6" t="inlineStr">
        <is>
          <t>GACE</t>
        </is>
      </c>
      <c r="D279" s="6" t="n">
        <v>2024</v>
      </c>
      <c r="E279" s="6" t="inlineStr">
        <is>
          <t>RH</t>
        </is>
      </c>
      <c r="F279" s="6" t="inlineStr">
        <is>
          <t>Conventioné</t>
        </is>
      </c>
      <c r="G279" s="6" t="inlineStr">
        <is>
          <t>2024-05-15</t>
        </is>
      </c>
      <c r="H279" s="6" t="inlineStr">
        <is>
          <t>2024-08-16</t>
        </is>
      </c>
      <c r="I279" s="6" t="n"/>
      <c r="J279" s="10" t="n"/>
      <c r="K279" s="13" t="n"/>
      <c r="L279" s="10" t="n"/>
      <c r="M279" s="10" t="n"/>
      <c r="N279" s="10" t="n"/>
      <c r="O279" s="10" t="n"/>
      <c r="P279" s="10" t="n"/>
      <c r="Q279" s="10" t="inlineStr">
        <is>
          <t>⬜ À enrichir</t>
        </is>
      </c>
      <c r="R279" s="13" t="n"/>
    </row>
    <row r="280" ht="15.75" customHeight="1" s="24">
      <c r="A280" s="6" t="n">
        <v>197</v>
      </c>
      <c r="B280" s="6" t="inlineStr">
        <is>
          <t>Noursaine</t>
        </is>
      </c>
      <c r="C280" s="6" t="inlineStr">
        <is>
          <t>GAIDA</t>
        </is>
      </c>
      <c r="D280" s="6" t="n">
        <v>2024</v>
      </c>
      <c r="E280" s="6" t="inlineStr">
        <is>
          <t>Data scientist</t>
        </is>
      </c>
      <c r="F280" s="6" t="inlineStr">
        <is>
          <t>Conventioné</t>
        </is>
      </c>
      <c r="G280" s="6" t="inlineStr">
        <is>
          <t>2025-06-02</t>
        </is>
      </c>
      <c r="H280" s="6" t="inlineStr">
        <is>
          <t>2025-08-09</t>
        </is>
      </c>
      <c r="I280" s="6" t="n"/>
      <c r="J280" s="10" t="n"/>
      <c r="K280" s="13" t="n"/>
      <c r="L280" s="10" t="n"/>
      <c r="M280" s="10" t="n"/>
      <c r="N280" s="10" t="n"/>
      <c r="O280" s="10" t="n"/>
      <c r="P280" s="10" t="n"/>
      <c r="Q280" s="10" t="inlineStr">
        <is>
          <t>⬜ À enrichir</t>
        </is>
      </c>
      <c r="R280" s="13" t="n"/>
    </row>
    <row r="281" ht="15.75" customHeight="1" s="24">
      <c r="A281" s="6" t="n">
        <v>200</v>
      </c>
      <c r="B281" s="6" t="inlineStr">
        <is>
          <t>Malek</t>
        </is>
      </c>
      <c r="C281" s="6" t="inlineStr">
        <is>
          <t>GALLAS</t>
        </is>
      </c>
      <c r="D281" s="6" t="n">
        <v>2024</v>
      </c>
      <c r="E281" s="6" t="inlineStr">
        <is>
          <t>Data analyst</t>
        </is>
      </c>
      <c r="F281" s="6" t="inlineStr">
        <is>
          <t>Conventioné</t>
        </is>
      </c>
      <c r="G281" s="6" t="inlineStr">
        <is>
          <t>2024-10-28</t>
        </is>
      </c>
      <c r="H281" s="6" t="inlineStr">
        <is>
          <t>2025-02-21</t>
        </is>
      </c>
      <c r="I281" s="6" t="n"/>
      <c r="J281" s="10" t="n"/>
      <c r="K281" s="13" t="n"/>
      <c r="L281" s="10" t="n"/>
      <c r="M281" s="10" t="n"/>
      <c r="N281" s="10" t="n"/>
      <c r="O281" s="10" t="n"/>
      <c r="P281" s="10" t="n"/>
      <c r="Q281" s="10" t="inlineStr">
        <is>
          <t>⬜ À enrichir</t>
        </is>
      </c>
      <c r="R281" s="13" t="n"/>
    </row>
    <row r="282" ht="15.75" customHeight="1" s="24">
      <c r="A282" s="6" t="n">
        <v>203</v>
      </c>
      <c r="B282" s="6" t="inlineStr">
        <is>
          <t>Basma</t>
        </is>
      </c>
      <c r="C282" s="6" t="inlineStr">
        <is>
          <t>GHAFFOUR</t>
        </is>
      </c>
      <c r="D282" s="6" t="n">
        <v>2024</v>
      </c>
      <c r="E282" s="6" t="inlineStr">
        <is>
          <t>Analyste en statistique appliquées</t>
        </is>
      </c>
      <c r="F282" s="6" t="inlineStr">
        <is>
          <t>Bénévole</t>
        </is>
      </c>
      <c r="G282" s="6" t="inlineStr">
        <is>
          <t>2024-07-01</t>
        </is>
      </c>
      <c r="H282" s="6" t="inlineStr">
        <is>
          <t>2024-09-27</t>
        </is>
      </c>
      <c r="I282" s="6" t="n"/>
      <c r="J282" s="10" t="n"/>
      <c r="K282" s="13" t="n"/>
      <c r="L282" s="10" t="n"/>
      <c r="M282" s="10" t="n"/>
      <c r="N282" s="10" t="n"/>
      <c r="O282" s="10" t="n"/>
      <c r="P282" s="10" t="n"/>
      <c r="Q282" s="10" t="inlineStr">
        <is>
          <t>⬜ À enrichir</t>
        </is>
      </c>
      <c r="R282" s="13" t="n"/>
    </row>
    <row r="283" ht="15.75" customHeight="1" s="24">
      <c r="A283" s="6" t="n">
        <v>207</v>
      </c>
      <c r="B283" s="6" t="inlineStr">
        <is>
          <t>Isabelle</t>
        </is>
      </c>
      <c r="C283" s="6" t="inlineStr">
        <is>
          <t>GOMEZ FUENTES</t>
        </is>
      </c>
      <c r="D283" s="6" t="n">
        <v>2024</v>
      </c>
      <c r="E283" s="6" t="inlineStr">
        <is>
          <t>RH</t>
        </is>
      </c>
      <c r="F283" s="6" t="inlineStr">
        <is>
          <t>Bénévole</t>
        </is>
      </c>
      <c r="G283" s="6" t="inlineStr">
        <is>
          <t>2023-11-20</t>
        </is>
      </c>
      <c r="H283" s="6" t="inlineStr">
        <is>
          <t>2024-05-19</t>
        </is>
      </c>
      <c r="I283" s="6" t="inlineStr">
        <is>
          <t>Alumni gratuit</t>
        </is>
      </c>
      <c r="J283" s="10" t="n"/>
      <c r="K283" s="13" t="n"/>
      <c r="L283" s="10" t="n"/>
      <c r="M283" s="10" t="n"/>
      <c r="N283" s="10" t="n"/>
      <c r="O283" s="10" t="n"/>
      <c r="P283" s="10" t="n"/>
      <c r="Q283" s="10" t="inlineStr">
        <is>
          <t>⬜ À enrichir</t>
        </is>
      </c>
      <c r="R283" s="13" t="n"/>
    </row>
    <row r="284" ht="15.75" customHeight="1" s="24">
      <c r="A284" s="6" t="n">
        <v>209</v>
      </c>
      <c r="B284" s="6" t="inlineStr">
        <is>
          <t>Samia</t>
        </is>
      </c>
      <c r="C284" s="6" t="inlineStr">
        <is>
          <t>GREGOIRE</t>
        </is>
      </c>
      <c r="D284" s="6" t="n">
        <v>2024</v>
      </c>
      <c r="E284" s="6" t="inlineStr">
        <is>
          <t>RH</t>
        </is>
      </c>
      <c r="F284" s="6" t="inlineStr">
        <is>
          <t>Bénévole</t>
        </is>
      </c>
      <c r="G284" s="6" t="inlineStr">
        <is>
          <t>2024-02-14</t>
        </is>
      </c>
      <c r="H284" s="6" t="inlineStr">
        <is>
          <t>2024-08-16</t>
        </is>
      </c>
      <c r="I284" s="6" t="n"/>
      <c r="J284" s="10" t="n"/>
      <c r="K284" s="13" t="n"/>
      <c r="L284" s="10" t="n"/>
      <c r="M284" s="10" t="n"/>
      <c r="N284" s="10" t="n"/>
      <c r="O284" s="10" t="n"/>
      <c r="P284" s="10" t="n"/>
      <c r="Q284" s="10" t="inlineStr">
        <is>
          <t>⬜ À enrichir</t>
        </is>
      </c>
      <c r="R284" s="13" t="n"/>
    </row>
    <row r="285" ht="15.75" customHeight="1" s="24">
      <c r="A285" s="6" t="n">
        <v>212</v>
      </c>
      <c r="B285" s="6" t="inlineStr">
        <is>
          <t>Oumaima</t>
        </is>
      </c>
      <c r="C285" s="6" t="inlineStr">
        <is>
          <t>GUERFEL</t>
        </is>
      </c>
      <c r="D285" s="6" t="n">
        <v>2024</v>
      </c>
      <c r="E285" s="6" t="inlineStr">
        <is>
          <t>Analyste financier - projet budget (H/F</t>
        </is>
      </c>
      <c r="F285" s="6" t="inlineStr">
        <is>
          <t>Bénévole</t>
        </is>
      </c>
      <c r="G285" s="6" t="inlineStr">
        <is>
          <t>2024-07-01</t>
        </is>
      </c>
      <c r="H285" s="6" t="inlineStr">
        <is>
          <t>2024-10-04</t>
        </is>
      </c>
      <c r="I285" s="6" t="n"/>
      <c r="J285" s="10" t="n"/>
      <c r="K285" s="13" t="n"/>
      <c r="L285" s="10" t="n"/>
      <c r="M285" s="10" t="n"/>
      <c r="N285" s="10" t="n"/>
      <c r="O285" s="10" t="n"/>
      <c r="P285" s="10" t="n"/>
      <c r="Q285" s="10" t="inlineStr">
        <is>
          <t>⬜ À enrichir</t>
        </is>
      </c>
      <c r="R285" s="13" t="n"/>
    </row>
    <row r="286" ht="15.75" customHeight="1" s="24">
      <c r="A286" s="6" t="n">
        <v>214</v>
      </c>
      <c r="B286" s="6" t="inlineStr">
        <is>
          <t>Ahmed</t>
        </is>
      </c>
      <c r="C286" s="6" t="inlineStr">
        <is>
          <t>GUINOUBI</t>
        </is>
      </c>
      <c r="D286" s="6" t="n">
        <v>2024</v>
      </c>
      <c r="E286" s="6" t="inlineStr">
        <is>
          <t>Assistant de recherche - étude d'impact environnementale</t>
        </is>
      </c>
      <c r="F286" s="6" t="inlineStr">
        <is>
          <t>Conventioné</t>
        </is>
      </c>
      <c r="G286" s="6" t="inlineStr">
        <is>
          <t>2024-02-12</t>
        </is>
      </c>
      <c r="H286" s="6" t="inlineStr">
        <is>
          <t>2024-06-14</t>
        </is>
      </c>
      <c r="I286" s="6" t="n"/>
      <c r="J286" s="10" t="n"/>
      <c r="K286" s="13" t="n"/>
      <c r="L286" s="10" t="n"/>
      <c r="M286" s="10" t="n"/>
      <c r="N286" s="10" t="n"/>
      <c r="O286" s="10" t="n"/>
      <c r="P286" s="10" t="n"/>
      <c r="Q286" s="10" t="inlineStr">
        <is>
          <t>⬜ À enrichir</t>
        </is>
      </c>
      <c r="R286" s="13" t="n"/>
    </row>
    <row r="287" ht="15.75" customHeight="1" s="24">
      <c r="A287" s="6" t="n">
        <v>216</v>
      </c>
      <c r="B287" s="6" t="inlineStr">
        <is>
          <t>Amira Jimenez</t>
        </is>
      </c>
      <c r="C287" s="6" t="inlineStr">
        <is>
          <t>Gasraoui</t>
        </is>
      </c>
      <c r="D287" s="6" t="n">
        <v>2024</v>
      </c>
      <c r="E287" s="6" t="inlineStr">
        <is>
          <t>Coordinatrice Budget</t>
        </is>
      </c>
      <c r="F287" s="6" t="inlineStr">
        <is>
          <t>Conventioné</t>
        </is>
      </c>
      <c r="G287" s="6" t="inlineStr">
        <is>
          <t>2024-07-01</t>
        </is>
      </c>
      <c r="H287" s="6" t="inlineStr">
        <is>
          <t>2024-12-31</t>
        </is>
      </c>
      <c r="I287" s="6" t="n"/>
      <c r="J287" s="10" t="n"/>
      <c r="K287" s="13" t="n"/>
      <c r="L287" s="10" t="n"/>
      <c r="M287" s="10" t="n"/>
      <c r="N287" s="10" t="n"/>
      <c r="O287" s="10" t="n"/>
      <c r="P287" s="10" t="n"/>
      <c r="Q287" s="10" t="inlineStr">
        <is>
          <t>⬜ À enrichir</t>
        </is>
      </c>
      <c r="R287" s="13" t="n"/>
    </row>
    <row r="288" ht="15.75" customHeight="1" s="24">
      <c r="A288" s="6" t="n">
        <v>218</v>
      </c>
      <c r="B288" s="6" t="inlineStr">
        <is>
          <t>Nolwenn</t>
        </is>
      </c>
      <c r="C288" s="6" t="inlineStr">
        <is>
          <t>Georgy</t>
        </is>
      </c>
      <c r="D288" s="6" t="n">
        <v>2024</v>
      </c>
      <c r="E288" s="6" t="inlineStr">
        <is>
          <t xml:space="preserve">Chargée de partenariat stratégique </t>
        </is>
      </c>
      <c r="F288" s="6" t="inlineStr">
        <is>
          <t>Bénévole</t>
        </is>
      </c>
      <c r="G288" s="6" t="inlineStr">
        <is>
          <t>2024-01-29</t>
        </is>
      </c>
      <c r="H288" s="6" t="inlineStr">
        <is>
          <t>2024-07-26</t>
        </is>
      </c>
      <c r="I288" s="6" t="n"/>
      <c r="J288" s="10" t="n"/>
      <c r="K288" s="13" t="n"/>
      <c r="L288" s="10" t="n"/>
      <c r="M288" s="10" t="n"/>
      <c r="N288" s="10" t="n"/>
      <c r="O288" s="10" t="n"/>
      <c r="P288" s="10" t="n"/>
      <c r="Q288" s="10" t="inlineStr">
        <is>
          <t>⬜ À enrichir</t>
        </is>
      </c>
      <c r="R288" s="13" t="n"/>
    </row>
    <row r="289" ht="15.75" customHeight="1" s="24">
      <c r="A289" s="6" t="n">
        <v>220</v>
      </c>
      <c r="B289" s="6" t="inlineStr">
        <is>
          <t>Steven</t>
        </is>
      </c>
      <c r="C289" s="6" t="inlineStr">
        <is>
          <t>Grecescu</t>
        </is>
      </c>
      <c r="D289" s="6" t="n">
        <v>2024</v>
      </c>
      <c r="E289" s="6" t="inlineStr">
        <is>
          <t>developpeur web</t>
        </is>
      </c>
      <c r="F289" s="6" t="inlineStr">
        <is>
          <t>Conventioné</t>
        </is>
      </c>
      <c r="G289" s="6" t="inlineStr">
        <is>
          <t>2024-02-19</t>
        </is>
      </c>
      <c r="H289" s="6" t="inlineStr">
        <is>
          <t>2024-05-17</t>
        </is>
      </c>
      <c r="I289" s="6" t="n"/>
      <c r="J289" s="10" t="n"/>
      <c r="K289" s="13" t="n"/>
      <c r="L289" s="10" t="n"/>
      <c r="M289" s="10" t="n"/>
      <c r="N289" s="10" t="n"/>
      <c r="O289" s="10" t="n"/>
      <c r="P289" s="10" t="n"/>
      <c r="Q289" s="10" t="inlineStr">
        <is>
          <t>⬜ À enrichir</t>
        </is>
      </c>
      <c r="R289" s="13" t="n"/>
    </row>
    <row r="290" ht="15.75" customHeight="1" s="24">
      <c r="A290" s="6" t="n">
        <v>228</v>
      </c>
      <c r="B290" s="6" t="inlineStr">
        <is>
          <t>Evelyne</t>
        </is>
      </c>
      <c r="C290" s="6" t="inlineStr">
        <is>
          <t>HIRSCHY</t>
        </is>
      </c>
      <c r="D290" s="6" t="n">
        <v>2024</v>
      </c>
      <c r="E290" s="6" t="inlineStr">
        <is>
          <t>RH</t>
        </is>
      </c>
      <c r="F290" s="6" t="inlineStr">
        <is>
          <t>Bénévole</t>
        </is>
      </c>
      <c r="G290" s="6" t="inlineStr">
        <is>
          <t>2023-08-11</t>
        </is>
      </c>
      <c r="H290" s="6" t="inlineStr">
        <is>
          <t>2024-05-31</t>
        </is>
      </c>
      <c r="I290" s="6" t="inlineStr">
        <is>
          <t>Alumni gratuit</t>
        </is>
      </c>
      <c r="J290" s="10" t="n"/>
      <c r="K290" s="13" t="n"/>
      <c r="L290" s="10" t="n"/>
      <c r="M290" s="10" t="n"/>
      <c r="N290" s="10" t="n"/>
      <c r="O290" s="10" t="n"/>
      <c r="P290" s="10" t="n"/>
      <c r="Q290" s="10" t="inlineStr">
        <is>
          <t>⬜ À enrichir</t>
        </is>
      </c>
      <c r="R290" s="13" t="n"/>
    </row>
    <row r="291" ht="15.75" customHeight="1" s="24">
      <c r="A291" s="6" t="n">
        <v>229</v>
      </c>
      <c r="B291" s="6" t="inlineStr">
        <is>
          <t>Céline</t>
        </is>
      </c>
      <c r="C291" s="6" t="inlineStr">
        <is>
          <t>HO</t>
        </is>
      </c>
      <c r="D291" s="6" t="n">
        <v>2024</v>
      </c>
      <c r="E291" s="6" t="inlineStr">
        <is>
          <t>Design</t>
        </is>
      </c>
      <c r="F291" s="6" t="inlineStr">
        <is>
          <t>Conventioné</t>
        </is>
      </c>
      <c r="G291" s="6" t="inlineStr">
        <is>
          <t>2024-08-01</t>
        </is>
      </c>
      <c r="H291" s="6" t="inlineStr">
        <is>
          <t>2024-09-27</t>
        </is>
      </c>
      <c r="I291" s="6" t="n"/>
      <c r="J291" s="10" t="n"/>
      <c r="K291" s="13" t="n"/>
      <c r="L291" s="10" t="n"/>
      <c r="M291" s="10" t="n"/>
      <c r="N291" s="10" t="n"/>
      <c r="O291" s="10" t="n"/>
      <c r="P291" s="10" t="n"/>
      <c r="Q291" s="10" t="inlineStr">
        <is>
          <t>⬜ À enrichir</t>
        </is>
      </c>
      <c r="R291" s="13" t="n"/>
    </row>
    <row r="292" ht="15.75" customHeight="1" s="24">
      <c r="A292" s="6" t="n">
        <v>232</v>
      </c>
      <c r="B292" s="6" t="inlineStr">
        <is>
          <t>Anthony</t>
        </is>
      </c>
      <c r="C292" s="6" t="inlineStr">
        <is>
          <t>HRENANGE</t>
        </is>
      </c>
      <c r="D292" s="6" t="n">
        <v>2024</v>
      </c>
      <c r="E292" s="6" t="inlineStr">
        <is>
          <t>Marketing</t>
        </is>
      </c>
      <c r="F292" s="6" t="inlineStr">
        <is>
          <t>Bénévole</t>
        </is>
      </c>
      <c r="G292" s="6" t="inlineStr">
        <is>
          <t>2024-01-15</t>
        </is>
      </c>
      <c r="H292" s="6" t="inlineStr">
        <is>
          <t>2024-01-15</t>
        </is>
      </c>
      <c r="I292" s="6" t="n"/>
      <c r="J292" s="10" t="n"/>
      <c r="K292" s="13" t="n"/>
      <c r="L292" s="10" t="n"/>
      <c r="M292" s="10" t="n"/>
      <c r="N292" s="10" t="n"/>
      <c r="O292" s="10" t="n"/>
      <c r="P292" s="10" t="n"/>
      <c r="Q292" s="10" t="inlineStr">
        <is>
          <t>⬜ À enrichir</t>
        </is>
      </c>
      <c r="R292" s="13" t="n"/>
    </row>
    <row r="293" ht="15.75" customHeight="1" s="24">
      <c r="A293" s="6" t="n">
        <v>234</v>
      </c>
      <c r="B293" s="6" t="inlineStr">
        <is>
          <t>Oumaima</t>
        </is>
      </c>
      <c r="C293" s="6" t="inlineStr">
        <is>
          <t>Hajlaoui</t>
        </is>
      </c>
      <c r="D293" s="6" t="n">
        <v>2024</v>
      </c>
      <c r="E293" s="6" t="inlineStr">
        <is>
          <t>Chimiste Spécialisé dans les Matériaux Composites</t>
        </is>
      </c>
      <c r="F293" s="6" t="inlineStr">
        <is>
          <t>Bénévole</t>
        </is>
      </c>
      <c r="G293" s="6" t="inlineStr">
        <is>
          <t>2024-08-19</t>
        </is>
      </c>
      <c r="H293" s="6" t="inlineStr">
        <is>
          <t>2025-02-21</t>
        </is>
      </c>
      <c r="I293" s="6" t="n"/>
      <c r="J293" s="10" t="n"/>
      <c r="K293" s="13" t="n"/>
      <c r="L293" s="10" t="n"/>
      <c r="M293" s="10" t="n"/>
      <c r="N293" s="10" t="n"/>
      <c r="O293" s="10" t="n"/>
      <c r="P293" s="10" t="n"/>
      <c r="Q293" s="10" t="inlineStr">
        <is>
          <t>⬜ À enrichir</t>
        </is>
      </c>
      <c r="R293" s="13" t="n"/>
    </row>
    <row r="294" ht="15.75" customHeight="1" s="24">
      <c r="A294" s="6" t="n">
        <v>236</v>
      </c>
      <c r="B294" s="6" t="inlineStr">
        <is>
          <t>Hachim</t>
        </is>
      </c>
      <c r="C294" s="6" t="inlineStr">
        <is>
          <t>IAHAYA SAID</t>
        </is>
      </c>
      <c r="D294" s="6" t="n">
        <v>2024</v>
      </c>
      <c r="E294" s="6" t="inlineStr">
        <is>
          <t>Data analyst</t>
        </is>
      </c>
      <c r="F294" s="6" t="inlineStr">
        <is>
          <t>Conventioné</t>
        </is>
      </c>
      <c r="G294" s="6" t="inlineStr">
        <is>
          <t>2024-01-29</t>
        </is>
      </c>
      <c r="H294" s="6" t="inlineStr">
        <is>
          <t>2024-07-26</t>
        </is>
      </c>
      <c r="I294" s="6" t="n"/>
      <c r="J294" s="10" t="n"/>
      <c r="K294" s="13" t="n"/>
      <c r="L294" s="10" t="n"/>
      <c r="M294" s="10" t="n"/>
      <c r="N294" s="10" t="n"/>
      <c r="O294" s="10" t="n"/>
      <c r="P294" s="10" t="n"/>
      <c r="Q294" s="10" t="inlineStr">
        <is>
          <t>⬜ À enrichir</t>
        </is>
      </c>
      <c r="R294" s="13" t="n"/>
    </row>
    <row r="295" ht="15.75" customHeight="1" s="24">
      <c r="A295" s="6" t="n">
        <v>237</v>
      </c>
      <c r="B295" s="6" t="inlineStr">
        <is>
          <t>Jean Pierre</t>
        </is>
      </c>
      <c r="C295" s="6" t="inlineStr">
        <is>
          <t>II Foe</t>
        </is>
      </c>
      <c r="D295" s="6" t="n">
        <v>2024</v>
      </c>
      <c r="E295" s="6" t="inlineStr">
        <is>
          <t>Traducteur</t>
        </is>
      </c>
      <c r="F295" s="6" t="inlineStr">
        <is>
          <t>Bénévole</t>
        </is>
      </c>
      <c r="G295" s="6" t="inlineStr">
        <is>
          <t>2024-01-22</t>
        </is>
      </c>
      <c r="H295" s="6" t="inlineStr">
        <is>
          <t>2024-07-19</t>
        </is>
      </c>
      <c r="I295" s="6" t="n"/>
      <c r="J295" s="10" t="n"/>
      <c r="K295" s="13" t="n"/>
      <c r="L295" s="10" t="n"/>
      <c r="M295" s="10" t="n"/>
      <c r="N295" s="10" t="n"/>
      <c r="O295" s="10" t="n"/>
      <c r="P295" s="10" t="n"/>
      <c r="Q295" s="10" t="inlineStr">
        <is>
          <t>⬜ À enrichir</t>
        </is>
      </c>
      <c r="R295" s="13" t="n"/>
    </row>
    <row r="296" ht="15.75" customHeight="1" s="24">
      <c r="A296" s="6" t="n">
        <v>238</v>
      </c>
      <c r="B296" s="6" t="inlineStr">
        <is>
          <t>Siwar Ibn Ghozzi</t>
        </is>
      </c>
      <c r="C296" s="6" t="inlineStr">
        <is>
          <t>Ibn Ghozzi</t>
        </is>
      </c>
      <c r="D296" s="6" t="n">
        <v>2024</v>
      </c>
      <c r="E296" s="6" t="inlineStr">
        <is>
          <t>Coordinatrice générale du projet Agriculture durable</t>
        </is>
      </c>
      <c r="F296" s="6" t="inlineStr">
        <is>
          <t>Bénévole</t>
        </is>
      </c>
      <c r="G296" s="6" t="inlineStr">
        <is>
          <t>2024-04-03</t>
        </is>
      </c>
      <c r="H296" s="6" t="inlineStr">
        <is>
          <t>2024-10-04</t>
        </is>
      </c>
      <c r="I296" s="6" t="n"/>
      <c r="J296" s="10" t="n"/>
      <c r="K296" s="13" t="n"/>
      <c r="L296" s="10" t="n"/>
      <c r="M296" s="10" t="n"/>
      <c r="N296" s="10" t="n"/>
      <c r="O296" s="10" t="n"/>
      <c r="P296" s="10" t="n"/>
      <c r="Q296" s="10" t="inlineStr">
        <is>
          <t>⬜ À enrichir</t>
        </is>
      </c>
      <c r="R296" s="13" t="n"/>
    </row>
    <row r="297" ht="15.75" customHeight="1" s="24">
      <c r="A297" s="6" t="n">
        <v>241</v>
      </c>
      <c r="B297" s="6" t="inlineStr">
        <is>
          <t>Céline</t>
        </is>
      </c>
      <c r="C297" s="6" t="inlineStr">
        <is>
          <t>JACCARD</t>
        </is>
      </c>
      <c r="D297" s="6" t="n">
        <v>2024</v>
      </c>
      <c r="E297" s="6" t="inlineStr">
        <is>
          <t>RH</t>
        </is>
      </c>
      <c r="F297" s="6" t="inlineStr">
        <is>
          <t>Bénévole</t>
        </is>
      </c>
      <c r="G297" s="6" t="inlineStr">
        <is>
          <t>2024-05-22</t>
        </is>
      </c>
      <c r="H297" s="6" t="inlineStr">
        <is>
          <t>2024-11-22</t>
        </is>
      </c>
      <c r="I297" s="6" t="n"/>
      <c r="J297" s="10" t="n"/>
      <c r="K297" s="13" t="n"/>
      <c r="L297" s="10" t="n"/>
      <c r="M297" s="10" t="n"/>
      <c r="N297" s="10" t="n"/>
      <c r="O297" s="10" t="n"/>
      <c r="P297" s="10" t="n"/>
      <c r="Q297" s="10" t="inlineStr">
        <is>
          <t>⬜ À enrichir</t>
        </is>
      </c>
      <c r="R297" s="13" t="n"/>
    </row>
    <row r="298" ht="15.75" customHeight="1" s="24">
      <c r="A298" s="6" t="n">
        <v>249</v>
      </c>
      <c r="B298" s="6" t="inlineStr">
        <is>
          <t>Karim</t>
        </is>
      </c>
      <c r="C298" s="6" t="inlineStr">
        <is>
          <t>KACI</t>
        </is>
      </c>
      <c r="D298" s="6" t="n">
        <v>2024</v>
      </c>
      <c r="E298" s="6" t="inlineStr">
        <is>
          <t>RH</t>
        </is>
      </c>
      <c r="F298" s="6" t="inlineStr">
        <is>
          <t>Bénévole</t>
        </is>
      </c>
      <c r="G298" s="6" t="inlineStr">
        <is>
          <t>2023-07-26</t>
        </is>
      </c>
      <c r="H298" s="6" t="inlineStr">
        <is>
          <t>2024-02-16</t>
        </is>
      </c>
      <c r="I298" s="6" t="inlineStr">
        <is>
          <t>Alumni gratuit</t>
        </is>
      </c>
      <c r="J298" s="10" t="n"/>
      <c r="K298" s="13" t="n"/>
      <c r="L298" s="10" t="n"/>
      <c r="M298" s="10" t="n"/>
      <c r="N298" s="10" t="n"/>
      <c r="O298" s="10" t="n"/>
      <c r="P298" s="10" t="n"/>
      <c r="Q298" s="10" t="inlineStr">
        <is>
          <t>⬜ À enrichir</t>
        </is>
      </c>
      <c r="R298" s="13" t="n"/>
    </row>
    <row r="299" ht="15.75" customHeight="1" s="24">
      <c r="A299" s="6" t="n">
        <v>251</v>
      </c>
      <c r="B299" s="6" t="inlineStr">
        <is>
          <t>Océane</t>
        </is>
      </c>
      <c r="C299" s="6" t="inlineStr">
        <is>
          <t>KAMAR-EDDINE</t>
        </is>
      </c>
      <c r="D299" s="6" t="n">
        <v>2024</v>
      </c>
      <c r="E299" s="6" t="inlineStr">
        <is>
          <t>Formatrice en RH</t>
        </is>
      </c>
      <c r="F299" s="6" t="inlineStr">
        <is>
          <t>Conventioné</t>
        </is>
      </c>
      <c r="G299" s="6" t="inlineStr">
        <is>
          <t>2024-02-05</t>
        </is>
      </c>
      <c r="H299" s="6" t="inlineStr">
        <is>
          <t>2024-05-03</t>
        </is>
      </c>
      <c r="I299" s="6" t="n"/>
      <c r="J299" s="10" t="n"/>
      <c r="K299" s="13" t="n"/>
      <c r="L299" s="10" t="n"/>
      <c r="M299" s="10" t="n"/>
      <c r="N299" s="10" t="n"/>
      <c r="O299" s="10" t="n"/>
      <c r="P299" s="10" t="n"/>
      <c r="Q299" s="10" t="inlineStr">
        <is>
          <t>⬜ À enrichir</t>
        </is>
      </c>
      <c r="R299" s="13" t="n"/>
    </row>
    <row r="300" ht="15.75" customHeight="1" s="24">
      <c r="A300" s="6" t="n">
        <v>256</v>
      </c>
      <c r="B300" s="6" t="inlineStr">
        <is>
          <t>Joel</t>
        </is>
      </c>
      <c r="C300" s="6" t="inlineStr">
        <is>
          <t>KINFACK</t>
        </is>
      </c>
      <c r="D300" s="6" t="n">
        <v>2024</v>
      </c>
      <c r="E300" s="6" t="inlineStr">
        <is>
          <t>Ingénieur</t>
        </is>
      </c>
      <c r="F300" s="6" t="inlineStr">
        <is>
          <t>Bénévole</t>
        </is>
      </c>
      <c r="G300" s="6" t="inlineStr">
        <is>
          <t>2024-02-20</t>
        </is>
      </c>
      <c r="H300" s="6" t="inlineStr">
        <is>
          <t>2024-08-16</t>
        </is>
      </c>
      <c r="I300" s="6" t="n"/>
      <c r="J300" s="10" t="n"/>
      <c r="K300" s="13" t="n"/>
      <c r="L300" s="10" t="n"/>
      <c r="M300" s="10" t="n"/>
      <c r="N300" s="10" t="n"/>
      <c r="O300" s="10" t="n"/>
      <c r="P300" s="10" t="n"/>
      <c r="Q300" s="10" t="inlineStr">
        <is>
          <t>⬜ À enrichir</t>
        </is>
      </c>
      <c r="R300" s="13" t="n"/>
    </row>
    <row r="301" ht="15.75" customHeight="1" s="24">
      <c r="A301" s="6" t="n">
        <v>257</v>
      </c>
      <c r="B301" s="6" t="inlineStr">
        <is>
          <t>Fald</t>
        </is>
      </c>
      <c r="C301" s="6" t="inlineStr">
        <is>
          <t>KINTANA</t>
        </is>
      </c>
      <c r="D301" s="6" t="n">
        <v>2024</v>
      </c>
      <c r="E301" s="6" t="inlineStr">
        <is>
          <t>Marketing digital</t>
        </is>
      </c>
      <c r="F301" s="6" t="inlineStr">
        <is>
          <t>Bénévole</t>
        </is>
      </c>
      <c r="G301" s="6" t="inlineStr">
        <is>
          <t>2024-07-29</t>
        </is>
      </c>
      <c r="H301" s="6" t="inlineStr">
        <is>
          <t>2024-11-01</t>
        </is>
      </c>
      <c r="I301" s="6" t="n"/>
      <c r="J301" s="10" t="n"/>
      <c r="K301" s="13" t="n"/>
      <c r="L301" s="10" t="n"/>
      <c r="M301" s="10" t="n"/>
      <c r="N301" s="10" t="n"/>
      <c r="O301" s="10" t="n"/>
      <c r="P301" s="10" t="n"/>
      <c r="Q301" s="10" t="inlineStr">
        <is>
          <t>⬜ À enrichir</t>
        </is>
      </c>
      <c r="R301" s="13" t="n"/>
    </row>
    <row r="302" ht="15.75" customHeight="1" s="24">
      <c r="A302" s="6" t="n">
        <v>258</v>
      </c>
      <c r="B302" s="6" t="inlineStr">
        <is>
          <t>Anna</t>
        </is>
      </c>
      <c r="C302" s="6" t="inlineStr">
        <is>
          <t>KLOCHKOVA</t>
        </is>
      </c>
      <c r="D302" s="6" t="n">
        <v>2024</v>
      </c>
      <c r="E302" s="6" t="inlineStr">
        <is>
          <t>RH</t>
        </is>
      </c>
      <c r="F302" s="6" t="inlineStr">
        <is>
          <t>Conventioné</t>
        </is>
      </c>
      <c r="G302" s="6" t="inlineStr">
        <is>
          <t>2024-03-27</t>
        </is>
      </c>
      <c r="H302" s="6" t="inlineStr">
        <is>
          <t>2024-08-30</t>
        </is>
      </c>
      <c r="I302" s="6" t="n"/>
      <c r="J302" s="10" t="n"/>
      <c r="K302" s="13" t="n"/>
      <c r="L302" s="10" t="n"/>
      <c r="M302" s="10" t="n"/>
      <c r="N302" s="10" t="n"/>
      <c r="O302" s="10" t="n"/>
      <c r="P302" s="10" t="n"/>
      <c r="Q302" s="10" t="inlineStr">
        <is>
          <t>⬜ À enrichir</t>
        </is>
      </c>
      <c r="R302" s="13" t="n"/>
    </row>
    <row r="303" ht="15.75" customHeight="1" s="24">
      <c r="A303" s="6" t="n">
        <v>259</v>
      </c>
      <c r="B303" s="6" t="inlineStr">
        <is>
          <t>Abi</t>
        </is>
      </c>
      <c r="C303" s="6" t="inlineStr">
        <is>
          <t>KONE</t>
        </is>
      </c>
      <c r="D303" s="6" t="n">
        <v>2024</v>
      </c>
      <c r="E303" s="6" t="inlineStr">
        <is>
          <t>RH</t>
        </is>
      </c>
      <c r="F303" s="6" t="inlineStr">
        <is>
          <t>Bénévole</t>
        </is>
      </c>
      <c r="G303" s="6" t="inlineStr">
        <is>
          <t>2022-11-02</t>
        </is>
      </c>
      <c r="H303" s="6" t="inlineStr">
        <is>
          <t>2023-05-26</t>
        </is>
      </c>
      <c r="I303" s="6" t="inlineStr">
        <is>
          <t>Alumni gratuit</t>
        </is>
      </c>
      <c r="J303" s="10" t="n"/>
      <c r="K303" s="13" t="n"/>
      <c r="L303" s="10" t="n"/>
      <c r="M303" s="10" t="n"/>
      <c r="N303" s="10" t="n"/>
      <c r="O303" s="10" t="n"/>
      <c r="P303" s="10" t="n"/>
      <c r="Q303" s="10" t="inlineStr">
        <is>
          <t>⬜ À enrichir</t>
        </is>
      </c>
      <c r="R303" s="13" t="n"/>
    </row>
    <row r="304" ht="15.75" customHeight="1" s="24">
      <c r="A304" s="6" t="n">
        <v>264</v>
      </c>
      <c r="B304" s="6" t="inlineStr">
        <is>
          <t>Anne</t>
        </is>
      </c>
      <c r="C304" s="6" t="inlineStr">
        <is>
          <t>KWARO</t>
        </is>
      </c>
      <c r="D304" s="6" t="n">
        <v>2024</v>
      </c>
      <c r="E304" s="6" t="inlineStr">
        <is>
          <t>IT</t>
        </is>
      </c>
      <c r="F304" s="6" t="inlineStr">
        <is>
          <t>Conventioné</t>
        </is>
      </c>
      <c r="G304" s="6" t="inlineStr">
        <is>
          <t>2023-11-23</t>
        </is>
      </c>
      <c r="H304" s="6" t="inlineStr">
        <is>
          <t>2024-03-12</t>
        </is>
      </c>
      <c r="I304" s="6" t="n"/>
      <c r="J304" s="10" t="n"/>
      <c r="K304" s="13" t="n"/>
      <c r="L304" s="10" t="n"/>
      <c r="M304" s="10" t="n"/>
      <c r="N304" s="10" t="n"/>
      <c r="O304" s="10" t="n"/>
      <c r="P304" s="10" t="n"/>
      <c r="Q304" s="10" t="inlineStr">
        <is>
          <t>⬜ À enrichir</t>
        </is>
      </c>
      <c r="R304" s="13" t="n"/>
    </row>
    <row r="305" ht="15.75" customHeight="1" s="24">
      <c r="A305" s="6" t="n">
        <v>266</v>
      </c>
      <c r="B305" s="6" t="inlineStr">
        <is>
          <t>Shahana</t>
        </is>
      </c>
      <c r="C305" s="6" t="inlineStr">
        <is>
          <t>Karimova</t>
        </is>
      </c>
      <c r="D305" s="6" t="n">
        <v>2024</v>
      </c>
      <c r="E305" s="6" t="inlineStr">
        <is>
          <t>marketing opérationnel</t>
        </is>
      </c>
      <c r="F305" s="6" t="inlineStr">
        <is>
          <t>Bénévole</t>
        </is>
      </c>
      <c r="G305" s="6" t="inlineStr">
        <is>
          <t>2023-12-04</t>
        </is>
      </c>
      <c r="H305" s="6" t="inlineStr">
        <is>
          <t>2024-04-26</t>
        </is>
      </c>
      <c r="I305" s="6" t="n"/>
      <c r="J305" s="10" t="n"/>
      <c r="K305" s="13" t="n"/>
      <c r="L305" s="10" t="n"/>
      <c r="M305" s="10" t="n"/>
      <c r="N305" s="10" t="n"/>
      <c r="O305" s="10" t="n"/>
      <c r="P305" s="10" t="n"/>
      <c r="Q305" s="10" t="inlineStr">
        <is>
          <t>⬜ À enrichir</t>
        </is>
      </c>
      <c r="R305" s="13" t="n"/>
    </row>
    <row r="306" ht="15.75" customHeight="1" s="24">
      <c r="A306" s="6" t="n">
        <v>268</v>
      </c>
      <c r="B306" s="6" t="inlineStr">
        <is>
          <t>Wolanya</t>
        </is>
      </c>
      <c r="C306" s="6" t="inlineStr">
        <is>
          <t>Komla Biem</t>
        </is>
      </c>
      <c r="D306" s="6" t="n">
        <v>2024</v>
      </c>
      <c r="E306" s="6" t="inlineStr">
        <is>
          <t>chargé de projet en Environnement / développement durable /Changement Climatique</t>
        </is>
      </c>
      <c r="F306" s="6" t="inlineStr">
        <is>
          <t>Bénévole</t>
        </is>
      </c>
      <c r="G306" s="6" t="inlineStr">
        <is>
          <t>2024-05-27</t>
        </is>
      </c>
      <c r="H306" s="6" t="inlineStr">
        <is>
          <t>2024-11-29</t>
        </is>
      </c>
      <c r="I306" s="6" t="n"/>
      <c r="J306" s="10" t="n"/>
      <c r="K306" s="13" t="n"/>
      <c r="L306" s="10" t="n"/>
      <c r="M306" s="10" t="n"/>
      <c r="N306" s="10" t="n"/>
      <c r="O306" s="10" t="n"/>
      <c r="P306" s="10" t="n"/>
      <c r="Q306" s="10" t="inlineStr">
        <is>
          <t>⬜ À enrichir</t>
        </is>
      </c>
      <c r="R306" s="13" t="n"/>
    </row>
    <row r="307" ht="15.75" customHeight="1" s="24">
      <c r="A307" s="6" t="n">
        <v>270</v>
      </c>
      <c r="B307" s="6" t="inlineStr">
        <is>
          <t>Guillaume</t>
        </is>
      </c>
      <c r="C307" s="6" t="inlineStr">
        <is>
          <t>L'HULLIER</t>
        </is>
      </c>
      <c r="D307" s="6" t="n">
        <v>2024</v>
      </c>
      <c r="E307" s="6" t="inlineStr">
        <is>
          <t>IT</t>
        </is>
      </c>
      <c r="F307" s="6" t="inlineStr">
        <is>
          <t>Bénévole</t>
        </is>
      </c>
      <c r="G307" s="6" t="inlineStr">
        <is>
          <t>2024-12-19</t>
        </is>
      </c>
      <c r="H307" s="6" t="inlineStr">
        <is>
          <t>2025-06-22</t>
        </is>
      </c>
      <c r="I307" s="6" t="n"/>
      <c r="J307" s="10" t="n"/>
      <c r="K307" s="13" t="n"/>
      <c r="L307" s="10" t="n"/>
      <c r="M307" s="10" t="n"/>
      <c r="N307" s="10" t="n"/>
      <c r="O307" s="10" t="n"/>
      <c r="P307" s="10" t="n"/>
      <c r="Q307" s="10" t="inlineStr">
        <is>
          <t>⬜ À enrichir</t>
        </is>
      </c>
      <c r="R307" s="13" t="n"/>
    </row>
    <row r="308" ht="15.75" customHeight="1" s="24">
      <c r="A308" s="6" t="n">
        <v>271</v>
      </c>
      <c r="B308" s="6" t="inlineStr">
        <is>
          <t>Donia</t>
        </is>
      </c>
      <c r="C308" s="6" t="inlineStr">
        <is>
          <t>LAAJILI</t>
        </is>
      </c>
      <c r="D308" s="6" t="n">
        <v>2024</v>
      </c>
      <c r="E308" s="6" t="inlineStr">
        <is>
          <t>IT</t>
        </is>
      </c>
      <c r="F308" s="6" t="inlineStr">
        <is>
          <t>Conventioné</t>
        </is>
      </c>
      <c r="G308" s="6" t="inlineStr">
        <is>
          <t>2024-06-24</t>
        </is>
      </c>
      <c r="H308" s="6" t="inlineStr">
        <is>
          <t>2024-10-25</t>
        </is>
      </c>
      <c r="I308" s="6" t="n"/>
      <c r="J308" s="10" t="n"/>
      <c r="K308" s="13" t="n"/>
      <c r="L308" s="10" t="n"/>
      <c r="M308" s="10" t="n"/>
      <c r="N308" s="10" t="n"/>
      <c r="O308" s="10" t="n"/>
      <c r="P308" s="10" t="n"/>
      <c r="Q308" s="10" t="inlineStr">
        <is>
          <t>⬜ À enrichir</t>
        </is>
      </c>
      <c r="R308" s="13" t="n"/>
    </row>
    <row r="309" ht="15.75" customHeight="1" s="24">
      <c r="A309" s="6" t="n">
        <v>273</v>
      </c>
      <c r="B309" s="6" t="inlineStr">
        <is>
          <t>Youssef</t>
        </is>
      </c>
      <c r="C309" s="6" t="inlineStr">
        <is>
          <t>LAFKIHI</t>
        </is>
      </c>
      <c r="D309" s="6" t="n">
        <v>2024</v>
      </c>
      <c r="E309" s="6" t="inlineStr">
        <is>
          <t>Assistant de recherche en climatologie</t>
        </is>
      </c>
      <c r="F309" s="6" t="inlineStr">
        <is>
          <t>Bénévole</t>
        </is>
      </c>
      <c r="G309" s="6" t="inlineStr">
        <is>
          <t>2025-09-22</t>
        </is>
      </c>
      <c r="H309" s="6" t="inlineStr">
        <is>
          <t>2026-04-10</t>
        </is>
      </c>
      <c r="I309" s="6" t="n"/>
      <c r="J309" s="10" t="n"/>
      <c r="K309" s="13" t="n"/>
      <c r="L309" s="10" t="n"/>
      <c r="M309" s="10" t="n"/>
      <c r="N309" s="10" t="n"/>
      <c r="O309" s="10" t="n"/>
      <c r="P309" s="10" t="n"/>
      <c r="Q309" s="10" t="inlineStr">
        <is>
          <t>⬜ À enrichir</t>
        </is>
      </c>
      <c r="R309" s="13" t="n"/>
    </row>
    <row r="310" ht="15.75" customHeight="1" s="24">
      <c r="A310" s="6" t="n">
        <v>274</v>
      </c>
      <c r="B310" s="6" t="inlineStr">
        <is>
          <t>Donia</t>
        </is>
      </c>
      <c r="C310" s="6" t="inlineStr">
        <is>
          <t>LAIDI</t>
        </is>
      </c>
      <c r="D310" s="6" t="n">
        <v>2024</v>
      </c>
      <c r="E310" s="6" t="inlineStr">
        <is>
          <t>Traductrice</t>
        </is>
      </c>
      <c r="F310" s="6" t="inlineStr">
        <is>
          <t>Conventioné</t>
        </is>
      </c>
      <c r="G310" s="6" t="inlineStr">
        <is>
          <t>2024-06-10</t>
        </is>
      </c>
      <c r="H310" s="6" t="inlineStr">
        <is>
          <t>2024-08-30</t>
        </is>
      </c>
      <c r="I310" s="6" t="n"/>
      <c r="J310" s="10" t="n"/>
      <c r="K310" s="13" t="n"/>
      <c r="L310" s="10" t="n"/>
      <c r="M310" s="10" t="n"/>
      <c r="N310" s="10" t="n"/>
      <c r="O310" s="10" t="n"/>
      <c r="P310" s="10" t="n"/>
      <c r="Q310" s="10" t="inlineStr">
        <is>
          <t>⬜ À enrichir</t>
        </is>
      </c>
      <c r="R310" s="13" t="n"/>
    </row>
    <row r="311" ht="15.75" customHeight="1" s="24">
      <c r="A311" s="6" t="n">
        <v>277</v>
      </c>
      <c r="B311" s="6" t="inlineStr">
        <is>
          <t>Myriam</t>
        </is>
      </c>
      <c r="C311" s="6" t="inlineStr">
        <is>
          <t>LAMBO</t>
        </is>
      </c>
      <c r="D311" s="6" t="n">
        <v>2024</v>
      </c>
      <c r="E311" s="6" t="inlineStr">
        <is>
          <t>Traductrice</t>
        </is>
      </c>
      <c r="F311" s="6" t="inlineStr">
        <is>
          <t>Conventioné</t>
        </is>
      </c>
      <c r="G311" s="6" t="inlineStr">
        <is>
          <t>2024-05-07</t>
        </is>
      </c>
      <c r="H311" s="6" t="inlineStr">
        <is>
          <t>2024-08-30</t>
        </is>
      </c>
      <c r="I311" s="6" t="n"/>
      <c r="J311" s="10" t="n"/>
      <c r="K311" s="13" t="n"/>
      <c r="L311" s="10" t="n"/>
      <c r="M311" s="10" t="n"/>
      <c r="N311" s="10" t="n"/>
      <c r="O311" s="10" t="n"/>
      <c r="P311" s="10" t="n"/>
      <c r="Q311" s="10" t="inlineStr">
        <is>
          <t>⬜ À enrichir</t>
        </is>
      </c>
      <c r="R311" s="13" t="n"/>
    </row>
    <row r="312" ht="15.75" customHeight="1" s="24">
      <c r="A312" s="6" t="n">
        <v>281</v>
      </c>
      <c r="B312" s="6" t="inlineStr">
        <is>
          <t>Emmanuelle</t>
        </is>
      </c>
      <c r="C312" s="6" t="inlineStr">
        <is>
          <t>LANTERNIER</t>
        </is>
      </c>
      <c r="D312" s="6" t="n">
        <v>2024</v>
      </c>
      <c r="E312" s="6" t="inlineStr">
        <is>
          <t>RH</t>
        </is>
      </c>
      <c r="F312" s="6" t="inlineStr">
        <is>
          <t>Bénévole</t>
        </is>
      </c>
      <c r="G312" s="6" t="inlineStr">
        <is>
          <t>2024-10-04</t>
        </is>
      </c>
      <c r="H312" s="6" t="inlineStr">
        <is>
          <t>2024-10-10</t>
        </is>
      </c>
      <c r="I312" s="6" t="n"/>
      <c r="J312" s="10" t="n"/>
      <c r="K312" s="13" t="n"/>
      <c r="L312" s="10" t="n"/>
      <c r="M312" s="10" t="n"/>
      <c r="N312" s="10" t="n"/>
      <c r="O312" s="10" t="n"/>
      <c r="P312" s="10" t="n"/>
      <c r="Q312" s="10" t="inlineStr">
        <is>
          <t>⬜ À enrichir</t>
        </is>
      </c>
      <c r="R312" s="13" t="n"/>
    </row>
    <row r="313" ht="15.75" customHeight="1" s="24">
      <c r="A313" s="6" t="n">
        <v>288</v>
      </c>
      <c r="B313" s="6" t="inlineStr">
        <is>
          <t>Benjamin</t>
        </is>
      </c>
      <c r="C313" s="6" t="inlineStr">
        <is>
          <t>LENNE</t>
        </is>
      </c>
      <c r="D313" s="6" t="n">
        <v>2024</v>
      </c>
      <c r="E313" s="6" t="inlineStr">
        <is>
          <t>Traducteur</t>
        </is>
      </c>
      <c r="F313" s="6" t="inlineStr">
        <is>
          <t>Conventioné</t>
        </is>
      </c>
      <c r="G313" s="6" t="inlineStr">
        <is>
          <t>2024-05-20</t>
        </is>
      </c>
      <c r="H313" s="6" t="inlineStr">
        <is>
          <t>2024-08-20</t>
        </is>
      </c>
      <c r="I313" s="6" t="n"/>
      <c r="J313" s="10" t="n"/>
      <c r="K313" s="13" t="n"/>
      <c r="L313" s="10" t="n"/>
      <c r="M313" s="10" t="n"/>
      <c r="N313" s="10" t="n"/>
      <c r="O313" s="10" t="n"/>
      <c r="P313" s="10" t="n"/>
      <c r="Q313" s="10" t="inlineStr">
        <is>
          <t>⬜ À enrichir</t>
        </is>
      </c>
      <c r="R313" s="13" t="n"/>
    </row>
    <row r="314" ht="15.75" customHeight="1" s="24">
      <c r="A314" s="6" t="n">
        <v>290</v>
      </c>
      <c r="B314" s="6" t="inlineStr">
        <is>
          <t>Mathis</t>
        </is>
      </c>
      <c r="C314" s="6" t="inlineStr">
        <is>
          <t>LESUEUR</t>
        </is>
      </c>
      <c r="D314" s="6" t="n">
        <v>2024</v>
      </c>
      <c r="E314" s="6" t="inlineStr">
        <is>
          <t>Collaborateur sustainability club</t>
        </is>
      </c>
      <c r="F314" s="6" t="inlineStr">
        <is>
          <t>Conventioné</t>
        </is>
      </c>
      <c r="G314" s="6" t="inlineStr">
        <is>
          <t>2024-02-05</t>
        </is>
      </c>
      <c r="H314" s="6" t="inlineStr">
        <is>
          <t>2024-08-05</t>
        </is>
      </c>
      <c r="I314" s="6" t="n"/>
      <c r="J314" s="10" t="n"/>
      <c r="K314" s="13" t="n"/>
      <c r="L314" s="10" t="n"/>
      <c r="M314" s="10" t="n"/>
      <c r="N314" s="10" t="n"/>
      <c r="O314" s="10" t="n"/>
      <c r="P314" s="10" t="n"/>
      <c r="Q314" s="10" t="inlineStr">
        <is>
          <t>⬜ À enrichir</t>
        </is>
      </c>
      <c r="R314" s="13" t="n"/>
    </row>
    <row r="315" ht="15.75" customHeight="1" s="24">
      <c r="A315" s="6" t="n">
        <v>299</v>
      </c>
      <c r="B315" s="6" t="inlineStr">
        <is>
          <t>Anthony</t>
        </is>
      </c>
      <c r="C315" s="6" t="inlineStr">
        <is>
          <t>Le Cardonnel</t>
        </is>
      </c>
      <c r="D315" s="6" t="n">
        <v>2024</v>
      </c>
      <c r="E315" s="6" t="inlineStr">
        <is>
          <t>IT</t>
        </is>
      </c>
      <c r="F315" s="6" t="inlineStr">
        <is>
          <t>Conventioné</t>
        </is>
      </c>
      <c r="G315" s="6" t="inlineStr">
        <is>
          <t>2024-03-25</t>
        </is>
      </c>
      <c r="H315" s="6" t="inlineStr">
        <is>
          <t>2024-07-05</t>
        </is>
      </c>
      <c r="I315" s="6" t="n"/>
      <c r="J315" s="10" t="n"/>
      <c r="K315" s="13" t="n"/>
      <c r="L315" s="10" t="n"/>
      <c r="M315" s="10" t="n"/>
      <c r="N315" s="10" t="n"/>
      <c r="O315" s="10" t="n"/>
      <c r="P315" s="10" t="n"/>
      <c r="Q315" s="10" t="inlineStr">
        <is>
          <t>⬜ À enrichir</t>
        </is>
      </c>
      <c r="R315" s="13" t="n"/>
    </row>
    <row r="316" ht="15.75" customHeight="1" s="24">
      <c r="A316" s="6" t="n">
        <v>301</v>
      </c>
      <c r="B316" s="6" t="inlineStr">
        <is>
          <t>Quentin</t>
        </is>
      </c>
      <c r="C316" s="6" t="inlineStr">
        <is>
          <t>Leclaire</t>
        </is>
      </c>
      <c r="D316" s="6" t="n">
        <v>2024</v>
      </c>
      <c r="E316" s="6" t="inlineStr">
        <is>
          <t>Dev Web &amp; web mobile</t>
        </is>
      </c>
      <c r="F316" s="6" t="inlineStr">
        <is>
          <t>Conventioné</t>
        </is>
      </c>
      <c r="G316" s="6" t="inlineStr">
        <is>
          <t>2024-02-19</t>
        </is>
      </c>
      <c r="H316" s="6" t="inlineStr">
        <is>
          <t>2024-05-17</t>
        </is>
      </c>
      <c r="I316" s="6" t="n"/>
      <c r="J316" s="10" t="n"/>
      <c r="K316" s="13" t="n"/>
      <c r="L316" s="10" t="n"/>
      <c r="M316" s="10" t="n"/>
      <c r="N316" s="10" t="n"/>
      <c r="O316" s="10" t="n"/>
      <c r="P316" s="10" t="n"/>
      <c r="Q316" s="10" t="inlineStr">
        <is>
          <t>⬜ À enrichir</t>
        </is>
      </c>
      <c r="R316" s="13" t="n"/>
    </row>
    <row r="317" ht="15.75" customHeight="1" s="24">
      <c r="A317" s="6" t="n">
        <v>302</v>
      </c>
      <c r="B317" s="6" t="inlineStr">
        <is>
          <t>Soumia</t>
        </is>
      </c>
      <c r="C317" s="6" t="inlineStr">
        <is>
          <t>Louchene</t>
        </is>
      </c>
      <c r="D317" s="6" t="n">
        <v>2024</v>
      </c>
      <c r="E317" s="6" t="inlineStr">
        <is>
          <t>Coordinatrice "marketing" projet de soutien</t>
        </is>
      </c>
      <c r="F317" s="6" t="inlineStr">
        <is>
          <t>Bénévole</t>
        </is>
      </c>
      <c r="G317" s="6" t="inlineStr">
        <is>
          <t>2024-12-16</t>
        </is>
      </c>
      <c r="H317" s="6" t="inlineStr">
        <is>
          <t>2025-04-11</t>
        </is>
      </c>
      <c r="I317" s="6" t="n"/>
      <c r="J317" s="10" t="n"/>
      <c r="K317" s="13" t="n"/>
      <c r="L317" s="10" t="n"/>
      <c r="M317" s="10" t="n"/>
      <c r="N317" s="10" t="n"/>
      <c r="O317" s="10" t="n"/>
      <c r="P317" s="10" t="n"/>
      <c r="Q317" s="10" t="inlineStr">
        <is>
          <t>⬜ À enrichir</t>
        </is>
      </c>
      <c r="R317" s="13" t="n"/>
    </row>
    <row r="318" ht="15.75" customHeight="1" s="24">
      <c r="A318" s="6" t="n">
        <v>303</v>
      </c>
      <c r="B318" s="6" t="inlineStr">
        <is>
          <t>Zineb</t>
        </is>
      </c>
      <c r="C318" s="6" t="inlineStr">
        <is>
          <t>Louz</t>
        </is>
      </c>
      <c r="D318" s="6" t="n">
        <v>2024</v>
      </c>
      <c r="E318" s="6" t="inlineStr">
        <is>
          <t>Traduction chinois-anglais</t>
        </is>
      </c>
      <c r="F318" s="6" t="inlineStr">
        <is>
          <t>Bénévole</t>
        </is>
      </c>
      <c r="G318" s="6" t="inlineStr">
        <is>
          <t>2024-06-17</t>
        </is>
      </c>
      <c r="H318" s="6" t="inlineStr">
        <is>
          <t>2024-09-20</t>
        </is>
      </c>
      <c r="I318" s="6" t="n"/>
      <c r="J318" s="10" t="n"/>
      <c r="K318" s="13" t="n"/>
      <c r="L318" s="10" t="n"/>
      <c r="M318" s="10" t="n"/>
      <c r="N318" s="10" t="n"/>
      <c r="O318" s="10" t="n"/>
      <c r="P318" s="10" t="n"/>
      <c r="Q318" s="10" t="inlineStr">
        <is>
          <t>⬜ À enrichir</t>
        </is>
      </c>
      <c r="R318" s="13" t="n"/>
    </row>
    <row r="319" ht="15.75" customHeight="1" s="24">
      <c r="A319" s="6" t="n">
        <v>307</v>
      </c>
      <c r="B319" s="6" t="inlineStr">
        <is>
          <t>Loni</t>
        </is>
      </c>
      <c r="C319" s="6" t="inlineStr">
        <is>
          <t>MACHADO</t>
        </is>
      </c>
      <c r="D319" s="6" t="n">
        <v>2024</v>
      </c>
      <c r="E319" s="6" t="inlineStr">
        <is>
          <t>RH</t>
        </is>
      </c>
      <c r="F319" s="6" t="inlineStr">
        <is>
          <t>Bénévole</t>
        </is>
      </c>
      <c r="G319" s="6" t="inlineStr">
        <is>
          <t>2024-02-21</t>
        </is>
      </c>
      <c r="H319" s="6" t="inlineStr">
        <is>
          <t>2024-08-23</t>
        </is>
      </c>
      <c r="I319" s="6" t="n"/>
      <c r="J319" s="10" t="n"/>
      <c r="K319" s="13" t="n"/>
      <c r="L319" s="10" t="n"/>
      <c r="M319" s="10" t="n"/>
      <c r="N319" s="10" t="n"/>
      <c r="O319" s="10" t="n"/>
      <c r="P319" s="10" t="n"/>
      <c r="Q319" s="10" t="inlineStr">
        <is>
          <t>⬜ À enrichir</t>
        </is>
      </c>
      <c r="R319" s="13" t="n"/>
    </row>
    <row r="320" ht="15.75" customHeight="1" s="24">
      <c r="A320" s="6" t="n">
        <v>309</v>
      </c>
      <c r="B320" s="6" t="inlineStr">
        <is>
          <t>Rilwanou</t>
        </is>
      </c>
      <c r="C320" s="6" t="inlineStr">
        <is>
          <t>MAHAMAN LAWAL</t>
        </is>
      </c>
      <c r="D320" s="6" t="n">
        <v>2024</v>
      </c>
      <c r="E320" s="6" t="inlineStr">
        <is>
          <t>Statisticien(ne) / Analyste en statistique appliquées</t>
        </is>
      </c>
      <c r="F320" s="6" t="inlineStr">
        <is>
          <t>Conventioné</t>
        </is>
      </c>
      <c r="G320" s="6" t="inlineStr">
        <is>
          <t>2024-08-12</t>
        </is>
      </c>
      <c r="H320" s="6" t="inlineStr">
        <is>
          <t>2024-11-15</t>
        </is>
      </c>
      <c r="I320" s="6" t="n"/>
      <c r="J320" s="10" t="n"/>
      <c r="K320" s="13" t="n"/>
      <c r="L320" s="10" t="n"/>
      <c r="M320" s="10" t="n"/>
      <c r="N320" s="10" t="n"/>
      <c r="O320" s="10" t="n"/>
      <c r="P320" s="10" t="n"/>
      <c r="Q320" s="10" t="inlineStr">
        <is>
          <t>⬜ À enrichir</t>
        </is>
      </c>
      <c r="R320" s="13" t="n"/>
    </row>
    <row r="321" ht="15.75" customHeight="1" s="24">
      <c r="A321" s="6" t="n">
        <v>311</v>
      </c>
      <c r="B321" s="6" t="inlineStr">
        <is>
          <t>Tayari</t>
        </is>
      </c>
      <c r="C321" s="6" t="inlineStr">
        <is>
          <t>MAHREZ</t>
        </is>
      </c>
      <c r="D321" s="6" t="n">
        <v>2024</v>
      </c>
      <c r="E321" s="6" t="inlineStr">
        <is>
          <t>Coordinateur Sustainability Club 2023</t>
        </is>
      </c>
      <c r="F321" s="6" t="inlineStr">
        <is>
          <t>Bénévole</t>
        </is>
      </c>
      <c r="G321" s="6" t="inlineStr">
        <is>
          <t>2024-12-09</t>
        </is>
      </c>
      <c r="H321" s="6" t="inlineStr">
        <is>
          <t>2025-06-06</t>
        </is>
      </c>
      <c r="I321" s="6" t="n"/>
      <c r="J321" s="10" t="n"/>
      <c r="K321" s="13" t="n"/>
      <c r="L321" s="10" t="n"/>
      <c r="M321" s="10" t="n"/>
      <c r="N321" s="10" t="n"/>
      <c r="O321" s="10" t="n"/>
      <c r="P321" s="10" t="n"/>
      <c r="Q321" s="10" t="inlineStr">
        <is>
          <t>⬜ À enrichir</t>
        </is>
      </c>
      <c r="R321" s="13" t="n"/>
    </row>
    <row r="322" ht="15.75" customHeight="1" s="24">
      <c r="A322" s="6" t="n">
        <v>313</v>
      </c>
      <c r="B322" s="6" t="inlineStr">
        <is>
          <t>Florentine Rosalie</t>
        </is>
      </c>
      <c r="C322" s="6" t="inlineStr">
        <is>
          <t>MANE</t>
        </is>
      </c>
      <c r="D322" s="6" t="n">
        <v>2024</v>
      </c>
      <c r="E322" s="6" t="inlineStr">
        <is>
          <t>Coordinatrice tourisme durable</t>
        </is>
      </c>
      <c r="F322" s="6" t="inlineStr">
        <is>
          <t>Bénévole</t>
        </is>
      </c>
      <c r="G322" s="6" t="inlineStr">
        <is>
          <t>2024-05-27</t>
        </is>
      </c>
      <c r="H322" s="6" t="inlineStr">
        <is>
          <t>2024-11-29</t>
        </is>
      </c>
      <c r="I322" s="6" t="n"/>
      <c r="J322" s="10" t="n"/>
      <c r="K322" s="13" t="n"/>
      <c r="L322" s="10" t="n"/>
      <c r="M322" s="10" t="n"/>
      <c r="N322" s="10" t="n"/>
      <c r="O322" s="10" t="n"/>
      <c r="P322" s="10" t="n"/>
      <c r="Q322" s="10" t="inlineStr">
        <is>
          <t>⬜ À enrichir</t>
        </is>
      </c>
      <c r="R322" s="13" t="n"/>
    </row>
    <row r="323" ht="15.75" customHeight="1" s="24">
      <c r="A323" s="6" t="n">
        <v>315</v>
      </c>
      <c r="B323" s="6" t="inlineStr">
        <is>
          <t>Anna</t>
        </is>
      </c>
      <c r="C323" s="6" t="inlineStr">
        <is>
          <t>MARTIN</t>
        </is>
      </c>
      <c r="D323" s="6" t="n">
        <v>2024</v>
      </c>
      <c r="E323" s="6" t="inlineStr">
        <is>
          <t>Traductrice</t>
        </is>
      </c>
      <c r="F323" s="6" t="inlineStr">
        <is>
          <t>Conventioné</t>
        </is>
      </c>
      <c r="G323" s="6" t="inlineStr">
        <is>
          <t>2024-05-07</t>
        </is>
      </c>
      <c r="H323" s="6" t="inlineStr">
        <is>
          <t>2024-08-09</t>
        </is>
      </c>
      <c r="I323" s="6" t="n"/>
      <c r="J323" s="10" t="n"/>
      <c r="K323" s="13" t="n"/>
      <c r="L323" s="10" t="n"/>
      <c r="M323" s="10" t="n"/>
      <c r="N323" s="10" t="n"/>
      <c r="O323" s="10" t="n"/>
      <c r="P323" s="10" t="n"/>
      <c r="Q323" s="10" t="inlineStr">
        <is>
          <t>⬜ À enrichir</t>
        </is>
      </c>
      <c r="R323" s="13" t="n"/>
    </row>
    <row r="324" ht="15.75" customHeight="1" s="24">
      <c r="A324" s="6" t="n">
        <v>317</v>
      </c>
      <c r="B324" s="6" t="inlineStr">
        <is>
          <t>Marguerite Helène</t>
        </is>
      </c>
      <c r="C324" s="6" t="inlineStr">
        <is>
          <t>MASSINGA LOEMBE</t>
        </is>
      </c>
      <c r="D324" s="6" t="n">
        <v>2024</v>
      </c>
      <c r="E324" s="6" t="inlineStr">
        <is>
          <t>IT</t>
        </is>
      </c>
      <c r="F324" s="6" t="inlineStr">
        <is>
          <t>Conventioné</t>
        </is>
      </c>
      <c r="G324" s="6" t="inlineStr">
        <is>
          <t>2024-04-08</t>
        </is>
      </c>
      <c r="H324" s="6" t="inlineStr">
        <is>
          <t>2024-08-30</t>
        </is>
      </c>
      <c r="I324" s="6" t="n"/>
      <c r="J324" s="10" t="n"/>
      <c r="K324" s="13" t="n"/>
      <c r="L324" s="10" t="n"/>
      <c r="M324" s="10" t="n"/>
      <c r="N324" s="10" t="n"/>
      <c r="O324" s="10" t="n"/>
      <c r="P324" s="10" t="n"/>
      <c r="Q324" s="10" t="inlineStr">
        <is>
          <t>⬜ À enrichir</t>
        </is>
      </c>
      <c r="R324" s="13" t="n"/>
    </row>
    <row r="325" ht="15.75" customHeight="1" s="24">
      <c r="A325" s="6" t="n">
        <v>318</v>
      </c>
      <c r="B325" s="6" t="inlineStr">
        <is>
          <t>Palmira</t>
        </is>
      </c>
      <c r="C325" s="6" t="inlineStr">
        <is>
          <t>MATEUS</t>
        </is>
      </c>
      <c r="D325" s="6" t="n">
        <v>2024</v>
      </c>
      <c r="E325" s="6" t="inlineStr">
        <is>
          <t>RH</t>
        </is>
      </c>
      <c r="F325" s="6" t="inlineStr">
        <is>
          <t>Bénévole</t>
        </is>
      </c>
      <c r="G325" s="6" t="inlineStr">
        <is>
          <t>2024-09-17</t>
        </is>
      </c>
      <c r="H325" s="6" t="inlineStr">
        <is>
          <t>2025-04-18</t>
        </is>
      </c>
      <c r="I325" s="6" t="n"/>
      <c r="J325" s="10" t="n"/>
      <c r="K325" s="13" t="n"/>
      <c r="L325" s="10" t="n"/>
      <c r="M325" s="10" t="n"/>
      <c r="N325" s="10" t="n"/>
      <c r="O325" s="10" t="n"/>
      <c r="P325" s="10" t="n"/>
      <c r="Q325" s="10" t="inlineStr">
        <is>
          <t>⬜ À enrichir</t>
        </is>
      </c>
      <c r="R325" s="13" t="n"/>
    </row>
    <row r="326" ht="15.75" customHeight="1" s="24">
      <c r="A326" s="6" t="n">
        <v>320</v>
      </c>
      <c r="B326" s="6" t="inlineStr">
        <is>
          <t>Eslam</t>
        </is>
      </c>
      <c r="C326" s="6" t="inlineStr">
        <is>
          <t>MAYHOB</t>
        </is>
      </c>
      <c r="D326" s="6" t="n">
        <v>2024</v>
      </c>
      <c r="E326" s="6" t="inlineStr">
        <is>
          <t>Analyst statistique</t>
        </is>
      </c>
      <c r="F326" s="6" t="inlineStr">
        <is>
          <t>Bénévole</t>
        </is>
      </c>
      <c r="G326" s="6" t="inlineStr">
        <is>
          <t>2024-06-24</t>
        </is>
      </c>
      <c r="H326" s="6" t="inlineStr">
        <is>
          <t>2025-02-14</t>
        </is>
      </c>
      <c r="I326" s="6" t="n"/>
      <c r="J326" s="10" t="n"/>
      <c r="K326" s="13" t="n"/>
      <c r="L326" s="10" t="n"/>
      <c r="M326" s="10" t="n"/>
      <c r="N326" s="10" t="n"/>
      <c r="O326" s="10" t="n"/>
      <c r="P326" s="10" t="n"/>
      <c r="Q326" s="10" t="inlineStr">
        <is>
          <t>⬜ À enrichir</t>
        </is>
      </c>
      <c r="R326" s="13" t="n"/>
    </row>
    <row r="327" ht="15.75" customHeight="1" s="24">
      <c r="A327" s="6" t="n">
        <v>323</v>
      </c>
      <c r="B327" s="6" t="inlineStr">
        <is>
          <t>Valeria</t>
        </is>
      </c>
      <c r="C327" s="6" t="inlineStr">
        <is>
          <t>MEDINA</t>
        </is>
      </c>
      <c r="D327" s="6" t="n">
        <v>2024</v>
      </c>
      <c r="E327" s="6" t="inlineStr">
        <is>
          <t>Analyste budgétaire</t>
        </is>
      </c>
      <c r="F327" s="6" t="inlineStr">
        <is>
          <t>Bénévole</t>
        </is>
      </c>
      <c r="G327" s="6" t="inlineStr">
        <is>
          <t>2024-06-17</t>
        </is>
      </c>
      <c r="H327" s="6" t="inlineStr">
        <is>
          <t>2024-12-20</t>
        </is>
      </c>
      <c r="I327" s="6" t="n"/>
      <c r="J327" s="10" t="n"/>
      <c r="K327" s="13" t="n"/>
      <c r="L327" s="10" t="n"/>
      <c r="M327" s="10" t="n"/>
      <c r="N327" s="10" t="n"/>
      <c r="O327" s="10" t="n"/>
      <c r="P327" s="10" t="n"/>
      <c r="Q327" s="10" t="inlineStr">
        <is>
          <t>⬜ À enrichir</t>
        </is>
      </c>
      <c r="R327" s="13" t="n"/>
    </row>
    <row r="328" ht="15.75" customHeight="1" s="24">
      <c r="A328" s="6" t="n">
        <v>325</v>
      </c>
      <c r="B328" s="6" t="inlineStr">
        <is>
          <t>Michelle</t>
        </is>
      </c>
      <c r="C328" s="6" t="inlineStr">
        <is>
          <t>MEFFO</t>
        </is>
      </c>
      <c r="D328" s="6" t="n">
        <v>2024</v>
      </c>
      <c r="E328" s="6" t="inlineStr">
        <is>
          <t>Collaboratrice GCC et GCBO</t>
        </is>
      </c>
      <c r="F328" s="6" t="inlineStr">
        <is>
          <t>Bénévole</t>
        </is>
      </c>
      <c r="G328" s="6" t="inlineStr">
        <is>
          <t>2024-02-05</t>
        </is>
      </c>
      <c r="H328" s="6" t="inlineStr">
        <is>
          <t>2024-08-02</t>
        </is>
      </c>
      <c r="I328" s="6" t="n"/>
      <c r="J328" s="10" t="n"/>
      <c r="K328" s="13" t="n"/>
      <c r="L328" s="10" t="n"/>
      <c r="M328" s="10" t="n"/>
      <c r="N328" s="10" t="n"/>
      <c r="O328" s="10" t="n"/>
      <c r="P328" s="10" t="n"/>
      <c r="Q328" s="10" t="inlineStr">
        <is>
          <t>⬜ À enrichir</t>
        </is>
      </c>
      <c r="R328" s="13" t="n"/>
    </row>
    <row r="329" ht="15.75" customHeight="1" s="24">
      <c r="A329" s="6" t="n">
        <v>326</v>
      </c>
      <c r="B329" s="6" t="inlineStr">
        <is>
          <t>Morir</t>
        </is>
      </c>
      <c r="C329" s="6" t="inlineStr">
        <is>
          <t>MEHHAT</t>
        </is>
      </c>
      <c r="D329" s="6" t="n">
        <v>2024</v>
      </c>
      <c r="E329" s="6" t="inlineStr">
        <is>
          <t>IT</t>
        </is>
      </c>
      <c r="F329" s="6" t="inlineStr">
        <is>
          <t>Bénévole</t>
        </is>
      </c>
      <c r="G329" s="6" t="inlineStr">
        <is>
          <t>2024-09-09</t>
        </is>
      </c>
      <c r="H329" s="6" t="n"/>
      <c r="I329" s="6" t="n"/>
      <c r="J329" s="10" t="n"/>
      <c r="K329" s="13" t="n"/>
      <c r="L329" s="10" t="n"/>
      <c r="M329" s="10" t="n"/>
      <c r="N329" s="10" t="n"/>
      <c r="O329" s="10" t="n"/>
      <c r="P329" s="10" t="n"/>
      <c r="Q329" s="10" t="inlineStr">
        <is>
          <t>⬜ À enrichir</t>
        </is>
      </c>
      <c r="R329" s="13" t="n"/>
    </row>
    <row r="330" ht="15.75" customHeight="1" s="24">
      <c r="A330" s="6" t="n">
        <v>332</v>
      </c>
      <c r="B330" s="6" t="inlineStr">
        <is>
          <t>Morina</t>
        </is>
      </c>
      <c r="C330" s="6" t="inlineStr">
        <is>
          <t>MERGIME</t>
        </is>
      </c>
      <c r="D330" s="6" t="n">
        <v>2024</v>
      </c>
      <c r="E330" s="6" t="inlineStr">
        <is>
          <t>CM/ Branding</t>
        </is>
      </c>
      <c r="F330" s="6" t="inlineStr">
        <is>
          <t>Bénévole</t>
        </is>
      </c>
      <c r="G330" s="6" t="inlineStr">
        <is>
          <t>2024-01-29</t>
        </is>
      </c>
      <c r="H330" s="6" t="inlineStr">
        <is>
          <t>2024-08-02</t>
        </is>
      </c>
      <c r="I330" s="6" t="n"/>
      <c r="J330" s="10" t="n"/>
      <c r="K330" s="13" t="n"/>
      <c r="L330" s="10" t="n"/>
      <c r="M330" s="10" t="n"/>
      <c r="N330" s="10" t="n"/>
      <c r="O330" s="10" t="n"/>
      <c r="P330" s="10" t="n"/>
      <c r="Q330" s="10" t="inlineStr">
        <is>
          <t>⬜ À enrichir</t>
        </is>
      </c>
      <c r="R330" s="13" t="n"/>
    </row>
    <row r="331" ht="15.75" customHeight="1" s="24">
      <c r="A331" s="6" t="n">
        <v>335</v>
      </c>
      <c r="B331" s="6" t="inlineStr">
        <is>
          <t>Hadia</t>
        </is>
      </c>
      <c r="C331" s="6" t="inlineStr">
        <is>
          <t>MESBAHI</t>
        </is>
      </c>
      <c r="D331" s="6" t="n">
        <v>2024</v>
      </c>
      <c r="E331" s="6" t="inlineStr">
        <is>
          <t>IT</t>
        </is>
      </c>
      <c r="F331" s="6" t="inlineStr">
        <is>
          <t>Conventioné</t>
        </is>
      </c>
      <c r="G331" s="6" t="inlineStr">
        <is>
          <t>2024-12-05</t>
        </is>
      </c>
      <c r="H331" s="6" t="inlineStr">
        <is>
          <t>2024-03-28</t>
        </is>
      </c>
      <c r="I331" s="6" t="n"/>
      <c r="J331" s="10" t="n"/>
      <c r="K331" s="13" t="n"/>
      <c r="L331" s="10" t="n"/>
      <c r="M331" s="10" t="n"/>
      <c r="N331" s="10" t="n"/>
      <c r="O331" s="10" t="n"/>
      <c r="P331" s="10" t="n"/>
      <c r="Q331" s="10" t="inlineStr">
        <is>
          <t>⬜ À enrichir</t>
        </is>
      </c>
      <c r="R331" s="13" t="n"/>
    </row>
    <row r="332" ht="15.75" customHeight="1" s="24">
      <c r="A332" s="6" t="n">
        <v>338</v>
      </c>
      <c r="B332" s="6" t="inlineStr">
        <is>
          <t>Stéphane</t>
        </is>
      </c>
      <c r="C332" s="6" t="inlineStr">
        <is>
          <t>METTIVIER</t>
        </is>
      </c>
      <c r="D332" s="6" t="n">
        <v>2024</v>
      </c>
      <c r="E332" s="6" t="inlineStr">
        <is>
          <t>RH</t>
        </is>
      </c>
      <c r="F332" s="6" t="inlineStr">
        <is>
          <t>Bénévole</t>
        </is>
      </c>
      <c r="G332" s="6" t="inlineStr">
        <is>
          <t>2024-03-20</t>
        </is>
      </c>
      <c r="H332" s="6" t="inlineStr">
        <is>
          <t>2024-09-20</t>
        </is>
      </c>
      <c r="I332" s="6" t="n"/>
      <c r="J332" s="10" t="n"/>
      <c r="K332" s="13" t="n"/>
      <c r="L332" s="10" t="n"/>
      <c r="M332" s="10" t="n"/>
      <c r="N332" s="10" t="n"/>
      <c r="O332" s="10" t="n"/>
      <c r="P332" s="10" t="n"/>
      <c r="Q332" s="10" t="inlineStr">
        <is>
          <t>⬜ À enrichir</t>
        </is>
      </c>
      <c r="R332" s="13" t="n"/>
    </row>
    <row r="333" ht="15.75" customHeight="1" s="24">
      <c r="A333" s="6" t="n">
        <v>342</v>
      </c>
      <c r="B333" s="6" t="inlineStr">
        <is>
          <t>Houda</t>
        </is>
      </c>
      <c r="C333" s="6" t="inlineStr">
        <is>
          <t>MIR</t>
        </is>
      </c>
      <c r="D333" s="6" t="n">
        <v>2024</v>
      </c>
      <c r="E333" s="6" t="inlineStr">
        <is>
          <t>Chargée de pojet événementiel</t>
        </is>
      </c>
      <c r="F333" s="6" t="inlineStr">
        <is>
          <t>Conventioné</t>
        </is>
      </c>
      <c r="G333" s="6" t="inlineStr">
        <is>
          <t>2024-01-16</t>
        </is>
      </c>
      <c r="H333" s="6" t="inlineStr">
        <is>
          <t>2024-05-17</t>
        </is>
      </c>
      <c r="I333" s="6" t="n"/>
      <c r="J333" s="10" t="n"/>
      <c r="K333" s="13" t="n"/>
      <c r="L333" s="10" t="n"/>
      <c r="M333" s="10" t="n"/>
      <c r="N333" s="10" t="n"/>
      <c r="O333" s="10" t="n"/>
      <c r="P333" s="10" t="n"/>
      <c r="Q333" s="10" t="inlineStr">
        <is>
          <t>⬜ À enrichir</t>
        </is>
      </c>
      <c r="R333" s="13" t="n"/>
    </row>
    <row r="334" ht="15.75" customHeight="1" s="24">
      <c r="A334" s="6" t="n">
        <v>343</v>
      </c>
      <c r="B334" s="6" t="inlineStr">
        <is>
          <t>Imen</t>
        </is>
      </c>
      <c r="C334" s="6" t="inlineStr">
        <is>
          <t>MISSAOUI</t>
        </is>
      </c>
      <c r="D334" s="6" t="n">
        <v>2024</v>
      </c>
      <c r="E334" s="6" t="inlineStr">
        <is>
          <t>Ingénieur éléctromagnétique</t>
        </is>
      </c>
      <c r="F334" s="6" t="inlineStr">
        <is>
          <t>Conventioné</t>
        </is>
      </c>
      <c r="G334" s="6" t="inlineStr">
        <is>
          <t>2024-02-19</t>
        </is>
      </c>
      <c r="H334" s="6" t="inlineStr">
        <is>
          <t>2024-06-21</t>
        </is>
      </c>
      <c r="I334" s="6" t="n"/>
      <c r="J334" s="10" t="n"/>
      <c r="K334" s="13" t="n"/>
      <c r="L334" s="10" t="n"/>
      <c r="M334" s="10" t="n"/>
      <c r="N334" s="10" t="n"/>
      <c r="O334" s="10" t="n"/>
      <c r="P334" s="10" t="n"/>
      <c r="Q334" s="10" t="inlineStr">
        <is>
          <t>⬜ À enrichir</t>
        </is>
      </c>
      <c r="R334" s="13" t="n"/>
    </row>
    <row r="335" ht="15.75" customHeight="1" s="24">
      <c r="A335" s="6" t="n">
        <v>344</v>
      </c>
      <c r="B335" s="6" t="inlineStr">
        <is>
          <t>Lilasse</t>
        </is>
      </c>
      <c r="C335" s="6" t="inlineStr">
        <is>
          <t>MOBAREK</t>
        </is>
      </c>
      <c r="D335" s="6" t="n">
        <v>2024</v>
      </c>
      <c r="E335" s="6" t="inlineStr">
        <is>
          <t>Traductrice</t>
        </is>
      </c>
      <c r="F335" s="6" t="inlineStr">
        <is>
          <t>Conventioné</t>
        </is>
      </c>
      <c r="G335" s="6" t="inlineStr">
        <is>
          <t>2024-04-15</t>
        </is>
      </c>
      <c r="H335" s="6" t="inlineStr">
        <is>
          <t>2024-07-19</t>
        </is>
      </c>
      <c r="I335" s="6" t="n"/>
      <c r="J335" s="10" t="n"/>
      <c r="K335" s="13" t="n"/>
      <c r="L335" s="10" t="n"/>
      <c r="M335" s="10" t="n"/>
      <c r="N335" s="10" t="n"/>
      <c r="O335" s="10" t="n"/>
      <c r="P335" s="10" t="n"/>
      <c r="Q335" s="10" t="inlineStr">
        <is>
          <t>⬜ À enrichir</t>
        </is>
      </c>
      <c r="R335" s="13" t="n"/>
    </row>
    <row r="336" ht="15.75" customHeight="1" s="24">
      <c r="A336" s="6" t="n">
        <v>349</v>
      </c>
      <c r="B336" s="6" t="inlineStr">
        <is>
          <t>Sarah</t>
        </is>
      </c>
      <c r="C336" s="6" t="inlineStr">
        <is>
          <t>MOUMIN</t>
        </is>
      </c>
      <c r="D336" s="6" t="n">
        <v>2024</v>
      </c>
      <c r="E336" s="6" t="inlineStr">
        <is>
          <t>RH</t>
        </is>
      </c>
      <c r="F336" s="6" t="inlineStr">
        <is>
          <t>Bénévole</t>
        </is>
      </c>
      <c r="G336" s="6" t="inlineStr">
        <is>
          <t>2023-09-06</t>
        </is>
      </c>
      <c r="H336" s="6" t="inlineStr">
        <is>
          <t>2024-03-29</t>
        </is>
      </c>
      <c r="I336" s="6" t="inlineStr">
        <is>
          <t>Alumni gratuit</t>
        </is>
      </c>
      <c r="J336" s="10" t="n"/>
      <c r="K336" s="13" t="n"/>
      <c r="L336" s="10" t="n"/>
      <c r="M336" s="10" t="n"/>
      <c r="N336" s="10" t="n"/>
      <c r="O336" s="10" t="n"/>
      <c r="P336" s="10" t="n"/>
      <c r="Q336" s="10" t="inlineStr">
        <is>
          <t>⬜ À enrichir</t>
        </is>
      </c>
      <c r="R336" s="13" t="n"/>
    </row>
    <row r="337" ht="15.75" customHeight="1" s="24">
      <c r="A337" s="6" t="n">
        <v>353</v>
      </c>
      <c r="B337" s="6" t="inlineStr">
        <is>
          <t>Sara</t>
        </is>
      </c>
      <c r="C337" s="6" t="inlineStr">
        <is>
          <t>Manuela Scarabino</t>
        </is>
      </c>
      <c r="D337" s="6" t="n">
        <v>2024</v>
      </c>
      <c r="E337" s="6" t="inlineStr">
        <is>
          <t>Traductrice français-italien</t>
        </is>
      </c>
      <c r="F337" s="6" t="inlineStr">
        <is>
          <t>Conventioné</t>
        </is>
      </c>
      <c r="G337" s="6" t="inlineStr">
        <is>
          <t>2024-04-22</t>
        </is>
      </c>
      <c r="H337" s="6" t="inlineStr">
        <is>
          <t>2024-08-23</t>
        </is>
      </c>
      <c r="I337" s="6" t="n"/>
      <c r="J337" s="10" t="n"/>
      <c r="K337" s="13" t="n"/>
      <c r="L337" s="10" t="n"/>
      <c r="M337" s="10" t="n"/>
      <c r="N337" s="10" t="n"/>
      <c r="O337" s="10" t="n"/>
      <c r="P337" s="10" t="n"/>
      <c r="Q337" s="10" t="inlineStr">
        <is>
          <t>⬜ À enrichir</t>
        </is>
      </c>
      <c r="R337" s="13" t="n"/>
    </row>
    <row r="338" ht="15.75" customHeight="1" s="24">
      <c r="A338" s="6" t="n">
        <v>356</v>
      </c>
      <c r="B338" s="6" t="inlineStr">
        <is>
          <t>Nejua</t>
        </is>
      </c>
      <c r="C338" s="6" t="inlineStr">
        <is>
          <t>Mestiri</t>
        </is>
      </c>
      <c r="D338" s="6" t="n">
        <v>2024</v>
      </c>
      <c r="E338" s="6" t="inlineStr">
        <is>
          <t>Traductrice</t>
        </is>
      </c>
      <c r="F338" s="6" t="inlineStr">
        <is>
          <t>Bénévole</t>
        </is>
      </c>
      <c r="G338" s="6" t="inlineStr">
        <is>
          <t>2024-04-15</t>
        </is>
      </c>
      <c r="H338" s="6" t="inlineStr">
        <is>
          <t>2024-07-15</t>
        </is>
      </c>
      <c r="I338" s="6" t="n"/>
      <c r="J338" s="10" t="n"/>
      <c r="K338" s="13" t="n"/>
      <c r="L338" s="10" t="n"/>
      <c r="M338" s="10" t="n"/>
      <c r="N338" s="10" t="n"/>
      <c r="O338" s="10" t="n"/>
      <c r="P338" s="10" t="n"/>
      <c r="Q338" s="10" t="inlineStr">
        <is>
          <t>⬜ À enrichir</t>
        </is>
      </c>
      <c r="R338" s="13" t="n"/>
    </row>
    <row r="339" ht="15.75" customHeight="1" s="24">
      <c r="A339" s="6" t="n">
        <v>362</v>
      </c>
      <c r="B339" s="6" t="inlineStr">
        <is>
          <t>Rahima</t>
        </is>
      </c>
      <c r="C339" s="6" t="inlineStr">
        <is>
          <t>NADJI</t>
        </is>
      </c>
      <c r="D339" s="6" t="n">
        <v>2024</v>
      </c>
      <c r="E339" s="6" t="inlineStr">
        <is>
          <t>Data Scientist</t>
        </is>
      </c>
      <c r="F339" s="6" t="inlineStr">
        <is>
          <t>Bénévole</t>
        </is>
      </c>
      <c r="G339" s="6" t="inlineStr">
        <is>
          <t>2025-04-07</t>
        </is>
      </c>
      <c r="H339" s="6" t="inlineStr">
        <is>
          <t>2025-10-10</t>
        </is>
      </c>
      <c r="I339" s="6" t="n"/>
      <c r="J339" s="10" t="n"/>
      <c r="K339" s="13" t="n"/>
      <c r="L339" s="10" t="n"/>
      <c r="M339" s="10" t="n"/>
      <c r="N339" s="10" t="n"/>
      <c r="O339" s="10" t="n"/>
      <c r="P339" s="10" t="n"/>
      <c r="Q339" s="10" t="inlineStr">
        <is>
          <t>⬜ À enrichir</t>
        </is>
      </c>
      <c r="R339" s="13" t="n"/>
    </row>
    <row r="340" ht="15.75" customHeight="1" s="24">
      <c r="A340" s="6" t="n">
        <v>364</v>
      </c>
      <c r="B340" s="6" t="inlineStr">
        <is>
          <t>Giacomo</t>
        </is>
      </c>
      <c r="C340" s="6" t="inlineStr">
        <is>
          <t>NALI</t>
        </is>
      </c>
      <c r="D340" s="6" t="n">
        <v>2024</v>
      </c>
      <c r="E340" s="6" t="inlineStr">
        <is>
          <t>Ingénieur énergie</t>
        </is>
      </c>
      <c r="F340" s="6" t="inlineStr">
        <is>
          <t>Conventioné</t>
        </is>
      </c>
      <c r="G340" s="6" t="inlineStr">
        <is>
          <t>2024-06-10</t>
        </is>
      </c>
      <c r="H340" s="6" t="inlineStr">
        <is>
          <t>2024-09-13</t>
        </is>
      </c>
      <c r="I340" s="6" t="n"/>
      <c r="J340" s="10" t="n"/>
      <c r="K340" s="13" t="n"/>
      <c r="L340" s="10" t="n"/>
      <c r="M340" s="10" t="n"/>
      <c r="N340" s="10" t="n"/>
      <c r="O340" s="10" t="n"/>
      <c r="P340" s="10" t="n"/>
      <c r="Q340" s="10" t="inlineStr">
        <is>
          <t>⬜ À enrichir</t>
        </is>
      </c>
      <c r="R340" s="13" t="n"/>
    </row>
    <row r="341" ht="15.75" customHeight="1" s="24">
      <c r="A341" s="6" t="n">
        <v>365</v>
      </c>
      <c r="B341" s="6" t="inlineStr">
        <is>
          <t>Giuseppe</t>
        </is>
      </c>
      <c r="C341" s="6" t="inlineStr">
        <is>
          <t>NALI</t>
        </is>
      </c>
      <c r="D341" s="6" t="n">
        <v>2024</v>
      </c>
      <c r="E341" s="6" t="inlineStr">
        <is>
          <t>Architecte, collaborateur des projets</t>
        </is>
      </c>
      <c r="F341" s="6" t="inlineStr">
        <is>
          <t>Conventioné</t>
        </is>
      </c>
      <c r="G341" s="6" t="inlineStr">
        <is>
          <t>2024-06-10</t>
        </is>
      </c>
      <c r="H341" s="6" t="inlineStr">
        <is>
          <t>2024-08-30</t>
        </is>
      </c>
      <c r="I341" s="6" t="n"/>
      <c r="J341" s="10" t="n"/>
      <c r="K341" s="13" t="n"/>
      <c r="L341" s="10" t="n"/>
      <c r="M341" s="10" t="n"/>
      <c r="N341" s="10" t="n"/>
      <c r="O341" s="10" t="n"/>
      <c r="P341" s="10" t="n"/>
      <c r="Q341" s="10" t="inlineStr">
        <is>
          <t>⬜ À enrichir</t>
        </is>
      </c>
      <c r="R341" s="13" t="n"/>
    </row>
    <row r="342" ht="15.75" customHeight="1" s="24">
      <c r="A342" s="6" t="n">
        <v>367</v>
      </c>
      <c r="B342" s="6" t="inlineStr">
        <is>
          <t>Abou</t>
        </is>
      </c>
      <c r="C342" s="6" t="inlineStr">
        <is>
          <t>NDYIAYE</t>
        </is>
      </c>
      <c r="D342" s="6" t="n">
        <v>2024</v>
      </c>
      <c r="E342" s="6" t="inlineStr">
        <is>
          <t>Concepteur Developpeur Informatique</t>
        </is>
      </c>
      <c r="F342" s="6" t="inlineStr">
        <is>
          <t>Conventioné</t>
        </is>
      </c>
      <c r="G342" s="6" t="inlineStr">
        <is>
          <t>2024-01-08</t>
        </is>
      </c>
      <c r="H342" s="6" t="inlineStr">
        <is>
          <t>2024-04-15</t>
        </is>
      </c>
      <c r="I342" s="6" t="n"/>
      <c r="J342" s="10" t="n"/>
      <c r="K342" s="13" t="n"/>
      <c r="L342" s="10" t="n"/>
      <c r="M342" s="10" t="n"/>
      <c r="N342" s="10" t="n"/>
      <c r="O342" s="10" t="n"/>
      <c r="P342" s="10" t="n"/>
      <c r="Q342" s="10" t="inlineStr">
        <is>
          <t>⬜ À enrichir</t>
        </is>
      </c>
      <c r="R342" s="13" t="n"/>
    </row>
    <row r="343" ht="15.75" customHeight="1" s="24">
      <c r="A343" s="6" t="n">
        <v>368</v>
      </c>
      <c r="B343" s="6" t="inlineStr">
        <is>
          <t>Destin Dieuviel</t>
        </is>
      </c>
      <c r="C343" s="6" t="inlineStr">
        <is>
          <t>NGANGA MATONDO</t>
        </is>
      </c>
      <c r="D343" s="6" t="n">
        <v>2024</v>
      </c>
      <c r="E343" s="6" t="inlineStr">
        <is>
          <t>Collaboratuer Agriculture</t>
        </is>
      </c>
      <c r="F343" s="6" t="inlineStr">
        <is>
          <t>Bénévole</t>
        </is>
      </c>
      <c r="G343" s="6" t="inlineStr">
        <is>
          <t>2024-06-17</t>
        </is>
      </c>
      <c r="H343" s="6" t="inlineStr">
        <is>
          <t>2024-09-20</t>
        </is>
      </c>
      <c r="I343" s="6" t="n"/>
      <c r="J343" s="10" t="n"/>
      <c r="K343" s="13" t="n"/>
      <c r="L343" s="10" t="n"/>
      <c r="M343" s="10" t="n"/>
      <c r="N343" s="10" t="n"/>
      <c r="O343" s="10" t="n"/>
      <c r="P343" s="10" t="n"/>
      <c r="Q343" s="10" t="inlineStr">
        <is>
          <t>⬜ À enrichir</t>
        </is>
      </c>
      <c r="R343" s="13" t="n"/>
    </row>
    <row r="344" ht="15.75" customHeight="1" s="24">
      <c r="A344" s="6" t="n">
        <v>370</v>
      </c>
      <c r="B344" s="6" t="inlineStr">
        <is>
          <t>Rose</t>
        </is>
      </c>
      <c r="C344" s="6" t="inlineStr">
        <is>
          <t>NGO NGIJOL</t>
        </is>
      </c>
      <c r="D344" s="6" t="n">
        <v>2024</v>
      </c>
      <c r="E344" s="6" t="inlineStr">
        <is>
          <t>Chargée de mission Supply Chain</t>
        </is>
      </c>
      <c r="F344" s="6" t="inlineStr">
        <is>
          <t>Conventioné</t>
        </is>
      </c>
      <c r="G344" s="6" t="inlineStr">
        <is>
          <t>2024-10-02</t>
        </is>
      </c>
      <c r="H344" s="6" t="inlineStr">
        <is>
          <t>2025-04-23</t>
        </is>
      </c>
      <c r="I344" s="6" t="n"/>
      <c r="J344" s="10" t="n"/>
      <c r="K344" s="13" t="n"/>
      <c r="L344" s="10" t="n"/>
      <c r="M344" s="10" t="n"/>
      <c r="N344" s="10" t="n"/>
      <c r="O344" s="10" t="n"/>
      <c r="P344" s="10" t="n"/>
      <c r="Q344" s="10" t="inlineStr">
        <is>
          <t>⬜ À enrichir</t>
        </is>
      </c>
      <c r="R344" s="13" t="n"/>
    </row>
    <row r="345" ht="15.75" customHeight="1" s="24">
      <c r="A345" s="6" t="n">
        <v>371</v>
      </c>
      <c r="B345" s="6" t="inlineStr">
        <is>
          <t>Gilles</t>
        </is>
      </c>
      <c r="C345" s="6" t="inlineStr">
        <is>
          <t>NGOUNOU</t>
        </is>
      </c>
      <c r="D345" s="6" t="n">
        <v>2024</v>
      </c>
      <c r="E345" s="6" t="inlineStr">
        <is>
          <t>Coordinateur statistique</t>
        </is>
      </c>
      <c r="F345" s="6" t="inlineStr">
        <is>
          <t>Conventioné</t>
        </is>
      </c>
      <c r="G345" s="6" t="inlineStr">
        <is>
          <t>2024-07-01</t>
        </is>
      </c>
      <c r="H345" s="6" t="inlineStr">
        <is>
          <t>2024-10-04</t>
        </is>
      </c>
      <c r="I345" s="6" t="n"/>
      <c r="J345" s="10" t="n"/>
      <c r="K345" s="13" t="n"/>
      <c r="L345" s="10" t="n"/>
      <c r="M345" s="10" t="n"/>
      <c r="N345" s="10" t="n"/>
      <c r="O345" s="10" t="n"/>
      <c r="P345" s="10" t="n"/>
      <c r="Q345" s="10" t="inlineStr">
        <is>
          <t>⬜ À enrichir</t>
        </is>
      </c>
      <c r="R345" s="13" t="n"/>
    </row>
    <row r="346" ht="15.75" customHeight="1" s="24">
      <c r="A346" s="6" t="n">
        <v>374</v>
      </c>
      <c r="B346" s="6" t="inlineStr">
        <is>
          <t>Alexis</t>
        </is>
      </c>
      <c r="C346" s="6" t="inlineStr">
        <is>
          <t>NJOMO NGOUNOU</t>
        </is>
      </c>
      <c r="D346" s="6" t="n">
        <v>2024</v>
      </c>
      <c r="E346" s="6" t="inlineStr">
        <is>
          <t>assistante de recherche étude impact environnement (INGENIEURE MATERIAUX)</t>
        </is>
      </c>
      <c r="F346" s="6" t="inlineStr">
        <is>
          <t>Bénévole</t>
        </is>
      </c>
      <c r="G346" s="6" t="inlineStr">
        <is>
          <t>2024-03-11</t>
        </is>
      </c>
      <c r="H346" s="6" t="inlineStr">
        <is>
          <t>2024-06-14</t>
        </is>
      </c>
      <c r="I346" s="6" t="n"/>
      <c r="J346" s="10" t="n"/>
      <c r="K346" s="13" t="n"/>
      <c r="L346" s="10" t="n"/>
      <c r="M346" s="10" t="n"/>
      <c r="N346" s="10" t="n"/>
      <c r="O346" s="10" t="n"/>
      <c r="P346" s="10" t="n"/>
      <c r="Q346" s="10" t="inlineStr">
        <is>
          <t>⬜ À enrichir</t>
        </is>
      </c>
      <c r="R346" s="13" t="n"/>
    </row>
    <row r="347" ht="15.75" customHeight="1" s="24">
      <c r="A347" s="6" t="n">
        <v>377</v>
      </c>
      <c r="B347" s="6" t="inlineStr">
        <is>
          <t>Hortense Jeanne</t>
        </is>
      </c>
      <c r="C347" s="6" t="inlineStr">
        <is>
          <t>NSI</t>
        </is>
      </c>
      <c r="D347" s="6" t="n">
        <v>2024</v>
      </c>
      <c r="E347" s="6" t="inlineStr">
        <is>
          <t>RH</t>
        </is>
      </c>
      <c r="F347" s="6" t="inlineStr">
        <is>
          <t>Conventioné</t>
        </is>
      </c>
      <c r="G347" s="6" t="inlineStr">
        <is>
          <t>2023-06-12</t>
        </is>
      </c>
      <c r="H347" s="6" t="inlineStr">
        <is>
          <t>2024-03-29</t>
        </is>
      </c>
      <c r="I347" s="6" t="inlineStr">
        <is>
          <t>Alumni gratuit</t>
        </is>
      </c>
      <c r="J347" s="10" t="n"/>
      <c r="K347" s="13" t="n"/>
      <c r="L347" s="10" t="n"/>
      <c r="M347" s="10" t="n"/>
      <c r="N347" s="10" t="n"/>
      <c r="O347" s="10" t="n"/>
      <c r="P347" s="10" t="n"/>
      <c r="Q347" s="10" t="inlineStr">
        <is>
          <t>⬜ À enrichir</t>
        </is>
      </c>
      <c r="R347" s="13" t="n"/>
    </row>
    <row r="348" ht="15.75" customHeight="1" s="24">
      <c r="A348" s="6" t="n">
        <v>386</v>
      </c>
      <c r="B348" s="6" t="inlineStr">
        <is>
          <t>Betty</t>
        </is>
      </c>
      <c r="C348" s="6" t="inlineStr">
        <is>
          <t>ORGANERO</t>
        </is>
      </c>
      <c r="D348" s="6" t="n">
        <v>2024</v>
      </c>
      <c r="E348" s="6" t="inlineStr">
        <is>
          <t>Design</t>
        </is>
      </c>
      <c r="F348" s="6" t="inlineStr">
        <is>
          <t>Bénévole</t>
        </is>
      </c>
      <c r="G348" s="6" t="inlineStr">
        <is>
          <t>2024-07-25</t>
        </is>
      </c>
      <c r="H348" s="6" t="inlineStr">
        <is>
          <t>2025-02-14</t>
        </is>
      </c>
      <c r="I348" s="6" t="n"/>
      <c r="J348" s="10" t="n"/>
      <c r="K348" s="13" t="n"/>
      <c r="L348" s="10" t="n"/>
      <c r="M348" s="10" t="n"/>
      <c r="N348" s="10" t="n"/>
      <c r="O348" s="10" t="n"/>
      <c r="P348" s="10" t="n"/>
      <c r="Q348" s="10" t="inlineStr">
        <is>
          <t>⬜ À enrichir</t>
        </is>
      </c>
      <c r="R348" s="13" t="n"/>
    </row>
    <row r="349" ht="15.75" customHeight="1" s="24">
      <c r="A349" s="6" t="n">
        <v>391</v>
      </c>
      <c r="B349" s="6" t="inlineStr">
        <is>
          <t>Laura</t>
        </is>
      </c>
      <c r="C349" s="6" t="inlineStr">
        <is>
          <t>PAIN</t>
        </is>
      </c>
      <c r="D349" s="6" t="n">
        <v>2024</v>
      </c>
      <c r="E349" s="6" t="inlineStr">
        <is>
          <t>Traductrice</t>
        </is>
      </c>
      <c r="F349" s="6" t="inlineStr">
        <is>
          <t>Conventioné</t>
        </is>
      </c>
      <c r="G349" s="6" t="inlineStr">
        <is>
          <t>2024-05-28</t>
        </is>
      </c>
      <c r="H349" s="6" t="inlineStr">
        <is>
          <t>2024-08-30</t>
        </is>
      </c>
      <c r="I349" s="6" t="n"/>
      <c r="J349" s="10" t="n"/>
      <c r="K349" s="13" t="n"/>
      <c r="L349" s="10" t="n"/>
      <c r="M349" s="10" t="n"/>
      <c r="N349" s="10" t="n"/>
      <c r="O349" s="10" t="n"/>
      <c r="P349" s="10" t="n"/>
      <c r="Q349" s="10" t="inlineStr">
        <is>
          <t>⬜ À enrichir</t>
        </is>
      </c>
      <c r="R349" s="13" t="n"/>
    </row>
    <row r="350" ht="15.75" customHeight="1" s="24">
      <c r="A350" s="6" t="n">
        <v>394</v>
      </c>
      <c r="B350" s="6" t="inlineStr">
        <is>
          <t>Kevine</t>
        </is>
      </c>
      <c r="C350" s="6" t="inlineStr">
        <is>
          <t>PAMBOU</t>
        </is>
      </c>
      <c r="D350" s="6" t="n">
        <v>2024</v>
      </c>
      <c r="E350" s="6" t="inlineStr">
        <is>
          <t>Chargé de projet mobilité durable</t>
        </is>
      </c>
      <c r="F350" s="6" t="inlineStr">
        <is>
          <t>Conventioné</t>
        </is>
      </c>
      <c r="G350" s="6" t="inlineStr">
        <is>
          <t>2024-01-30</t>
        </is>
      </c>
      <c r="H350" s="6" t="inlineStr">
        <is>
          <t>2024-08-02</t>
        </is>
      </c>
      <c r="I350" s="6" t="n"/>
      <c r="J350" s="10" t="n"/>
      <c r="K350" s="13" t="n"/>
      <c r="L350" s="10" t="n"/>
      <c r="M350" s="10" t="n"/>
      <c r="N350" s="10" t="n"/>
      <c r="O350" s="10" t="n"/>
      <c r="P350" s="10" t="n"/>
      <c r="Q350" s="10" t="inlineStr">
        <is>
          <t>⬜ À enrichir</t>
        </is>
      </c>
      <c r="R350" s="13" t="n"/>
    </row>
    <row r="351" ht="15.75" customHeight="1" s="24">
      <c r="A351" s="6" t="n">
        <v>395</v>
      </c>
      <c r="B351" s="6" t="inlineStr">
        <is>
          <t>Alexia Thaïs</t>
        </is>
      </c>
      <c r="C351" s="6" t="inlineStr">
        <is>
          <t>PARENT</t>
        </is>
      </c>
      <c r="D351" s="6" t="n">
        <v>2024</v>
      </c>
      <c r="E351" s="6" t="inlineStr">
        <is>
          <t>RH</t>
        </is>
      </c>
      <c r="F351" s="6" t="inlineStr">
        <is>
          <t>Conventioné</t>
        </is>
      </c>
      <c r="G351" s="6" t="inlineStr">
        <is>
          <t>2024-02-21</t>
        </is>
      </c>
      <c r="H351" s="6" t="inlineStr">
        <is>
          <t>2024-05-24</t>
        </is>
      </c>
      <c r="I351" s="6" t="n"/>
      <c r="J351" s="10" t="n"/>
      <c r="K351" s="13" t="n"/>
      <c r="L351" s="10" t="n"/>
      <c r="M351" s="10" t="n"/>
      <c r="N351" s="10" t="n"/>
      <c r="O351" s="10" t="n"/>
      <c r="P351" s="10" t="n"/>
      <c r="Q351" s="10" t="inlineStr">
        <is>
          <t>⬜ À enrichir</t>
        </is>
      </c>
      <c r="R351" s="13" t="n"/>
    </row>
    <row r="352" ht="15.75" customHeight="1" s="24">
      <c r="A352" s="6" t="n">
        <v>401</v>
      </c>
      <c r="B352" s="6" t="inlineStr">
        <is>
          <t>Leane</t>
        </is>
      </c>
      <c r="C352" s="6" t="inlineStr">
        <is>
          <t>PILOT</t>
        </is>
      </c>
      <c r="D352" s="6" t="n">
        <v>2024</v>
      </c>
      <c r="E352" s="6" t="inlineStr">
        <is>
          <t>Traductrice</t>
        </is>
      </c>
      <c r="F352" s="6" t="inlineStr">
        <is>
          <t>Conventioné</t>
        </is>
      </c>
      <c r="G352" s="6" t="inlineStr">
        <is>
          <t>2024-07-02</t>
        </is>
      </c>
      <c r="H352" s="6" t="inlineStr">
        <is>
          <t>2024-10-04</t>
        </is>
      </c>
      <c r="I352" s="6" t="n"/>
      <c r="J352" s="10" t="n"/>
      <c r="K352" s="13" t="n"/>
      <c r="L352" s="10" t="n"/>
      <c r="M352" s="10" t="n"/>
      <c r="N352" s="10" t="n"/>
      <c r="O352" s="10" t="n"/>
      <c r="P352" s="10" t="n"/>
      <c r="Q352" s="10" t="inlineStr">
        <is>
          <t>⬜ À enrichir</t>
        </is>
      </c>
      <c r="R352" s="13" t="n"/>
    </row>
    <row r="353" ht="15.75" customHeight="1" s="24">
      <c r="A353" s="6" t="n">
        <v>405</v>
      </c>
      <c r="B353" s="6" t="inlineStr">
        <is>
          <t>Fabienne</t>
        </is>
      </c>
      <c r="C353" s="6" t="inlineStr">
        <is>
          <t>PLATNER</t>
        </is>
      </c>
      <c r="D353" s="6" t="n">
        <v>2024</v>
      </c>
      <c r="E353" s="6" t="inlineStr">
        <is>
          <t>Coordinatrice agriculture durable</t>
        </is>
      </c>
      <c r="F353" s="6" t="inlineStr">
        <is>
          <t>Bénévole</t>
        </is>
      </c>
      <c r="G353" s="6" t="inlineStr">
        <is>
          <t>2024-08-05</t>
        </is>
      </c>
      <c r="H353" s="6" t="inlineStr">
        <is>
          <t>2025-02-28</t>
        </is>
      </c>
      <c r="I353" s="6" t="n"/>
      <c r="J353" s="10" t="n"/>
      <c r="K353" s="13" t="n"/>
      <c r="L353" s="10" t="n"/>
      <c r="M353" s="10" t="n"/>
      <c r="N353" s="10" t="n"/>
      <c r="O353" s="10" t="n"/>
      <c r="P353" s="10" t="n"/>
      <c r="Q353" s="10" t="inlineStr">
        <is>
          <t>⬜ À enrichir</t>
        </is>
      </c>
      <c r="R353" s="13" t="n"/>
    </row>
    <row r="354" ht="15.75" customHeight="1" s="24">
      <c r="A354" s="6" t="n">
        <v>406</v>
      </c>
      <c r="B354" s="6" t="inlineStr">
        <is>
          <t>Hugo</t>
        </is>
      </c>
      <c r="C354" s="6" t="inlineStr">
        <is>
          <t>PONTES</t>
        </is>
      </c>
      <c r="D354" s="6" t="n">
        <v>2024</v>
      </c>
      <c r="E354" s="6" t="inlineStr">
        <is>
          <t>RH</t>
        </is>
      </c>
      <c r="F354" s="6" t="inlineStr">
        <is>
          <t>Bénévole</t>
        </is>
      </c>
      <c r="G354" s="6" t="inlineStr">
        <is>
          <t>2024-03-20</t>
        </is>
      </c>
      <c r="H354" s="6" t="inlineStr">
        <is>
          <t>2024-09-20</t>
        </is>
      </c>
      <c r="I354" s="6" t="n"/>
      <c r="J354" s="10" t="n"/>
      <c r="K354" s="13" t="n"/>
      <c r="L354" s="10" t="n"/>
      <c r="M354" s="10" t="n"/>
      <c r="N354" s="10" t="n"/>
      <c r="O354" s="10" t="n"/>
      <c r="P354" s="10" t="n"/>
      <c r="Q354" s="10" t="inlineStr">
        <is>
          <t>⬜ À enrichir</t>
        </is>
      </c>
      <c r="R354" s="13" t="n"/>
    </row>
    <row r="355" ht="15.75" customHeight="1" s="24">
      <c r="A355" s="6" t="n">
        <v>408</v>
      </c>
      <c r="B355" s="6" t="inlineStr">
        <is>
          <t>Ninelle</t>
        </is>
      </c>
      <c r="C355" s="6" t="inlineStr">
        <is>
          <t>Pascale Youmbi</t>
        </is>
      </c>
      <c r="D355" s="6" t="n">
        <v>2024</v>
      </c>
      <c r="E355" s="6" t="inlineStr">
        <is>
          <t>Chargée de communication digitale - Mode Durable</t>
        </is>
      </c>
      <c r="F355" s="6" t="inlineStr">
        <is>
          <t>Conventioné</t>
        </is>
      </c>
      <c r="G355" s="6" t="inlineStr">
        <is>
          <t>2024-10-28</t>
        </is>
      </c>
      <c r="H355" s="6" t="inlineStr">
        <is>
          <t>2025-05-23</t>
        </is>
      </c>
      <c r="I355" s="6" t="n"/>
      <c r="J355" s="10" t="n"/>
      <c r="K355" s="13" t="n"/>
      <c r="L355" s="10" t="n"/>
      <c r="M355" s="10" t="n"/>
      <c r="N355" s="10" t="n"/>
      <c r="O355" s="10" t="n"/>
      <c r="P355" s="10" t="n"/>
      <c r="Q355" s="10" t="inlineStr">
        <is>
          <t>⬜ À enrichir</t>
        </is>
      </c>
      <c r="R355" s="13" t="n"/>
    </row>
    <row r="356" ht="15.75" customHeight="1" s="24">
      <c r="A356" s="6" t="n">
        <v>411</v>
      </c>
      <c r="B356" s="6" t="inlineStr">
        <is>
          <t>Alicx Maryse</t>
        </is>
      </c>
      <c r="C356" s="6" t="inlineStr">
        <is>
          <t>RABEMAHARAVO</t>
        </is>
      </c>
      <c r="D356" s="6" t="n">
        <v>2024</v>
      </c>
      <c r="E356" s="6" t="inlineStr">
        <is>
          <t>Coordinateur GCBO</t>
        </is>
      </c>
      <c r="F356" s="6" t="inlineStr">
        <is>
          <t>Bénévole</t>
        </is>
      </c>
      <c r="G356" s="6" t="inlineStr">
        <is>
          <t>2024-10-21</t>
        </is>
      </c>
      <c r="H356" s="6" t="inlineStr">
        <is>
          <t>2025-05-15</t>
        </is>
      </c>
      <c r="I356" s="6" t="n"/>
      <c r="J356" s="10" t="n"/>
      <c r="K356" s="13" t="n"/>
      <c r="L356" s="10" t="n"/>
      <c r="M356" s="10" t="n"/>
      <c r="N356" s="10" t="n"/>
      <c r="O356" s="10" t="n"/>
      <c r="P356" s="10" t="n"/>
      <c r="Q356" s="10" t="inlineStr">
        <is>
          <t>⬜ À enrichir</t>
        </is>
      </c>
      <c r="R356" s="13" t="n"/>
    </row>
    <row r="357" ht="15.75" customHeight="1" s="24">
      <c r="A357" s="6" t="n">
        <v>417</v>
      </c>
      <c r="B357" s="6" t="inlineStr">
        <is>
          <t>Rijaniaina</t>
        </is>
      </c>
      <c r="C357" s="6" t="inlineStr">
        <is>
          <t>RANDRIARIMANANA</t>
        </is>
      </c>
      <c r="D357" s="6" t="n">
        <v>2024</v>
      </c>
      <c r="E357" s="6" t="inlineStr">
        <is>
          <t>Support IT</t>
        </is>
      </c>
      <c r="F357" s="6" t="inlineStr">
        <is>
          <t>Bénévole</t>
        </is>
      </c>
      <c r="G357" s="6" t="inlineStr">
        <is>
          <t>2024-08-08</t>
        </is>
      </c>
      <c r="H357" s="6" t="inlineStr">
        <is>
          <t>2025-02-28</t>
        </is>
      </c>
      <c r="I357" s="6" t="n"/>
      <c r="J357" s="10" t="n"/>
      <c r="K357" s="13" t="n"/>
      <c r="L357" s="10" t="n"/>
      <c r="M357" s="10" t="n"/>
      <c r="N357" s="10" t="n"/>
      <c r="O357" s="10" t="n"/>
      <c r="P357" s="10" t="n"/>
      <c r="Q357" s="10" t="inlineStr">
        <is>
          <t>⬜ À enrichir</t>
        </is>
      </c>
      <c r="R357" s="13" t="n"/>
    </row>
    <row r="358" ht="15.75" customHeight="1" s="24">
      <c r="A358" s="6" t="n">
        <v>419</v>
      </c>
      <c r="B358" s="6" t="inlineStr">
        <is>
          <t>Hervé</t>
        </is>
      </c>
      <c r="C358" s="6" t="inlineStr">
        <is>
          <t>RAZAFIMAHAZO</t>
        </is>
      </c>
      <c r="D358" s="6" t="n">
        <v>2024</v>
      </c>
      <c r="E358" s="6" t="inlineStr">
        <is>
          <t>IT</t>
        </is>
      </c>
      <c r="F358" s="6" t="inlineStr">
        <is>
          <t>Conventioné</t>
        </is>
      </c>
      <c r="G358" s="6" t="inlineStr">
        <is>
          <t>2025-10-15</t>
        </is>
      </c>
      <c r="H358" s="6" t="inlineStr">
        <is>
          <t>2025-04-25</t>
        </is>
      </c>
      <c r="I358" s="6" t="n"/>
      <c r="J358" s="10" t="n"/>
      <c r="K358" s="13" t="n"/>
      <c r="L358" s="10" t="n"/>
      <c r="M358" s="10" t="n"/>
      <c r="N358" s="10" t="n"/>
      <c r="O358" s="10" t="n"/>
      <c r="P358" s="10" t="n"/>
      <c r="Q358" s="10" t="inlineStr">
        <is>
          <t>⬜ À enrichir</t>
        </is>
      </c>
      <c r="R358" s="13" t="n"/>
    </row>
    <row r="359" ht="15.75" customHeight="1" s="24">
      <c r="A359" s="6" t="n">
        <v>421</v>
      </c>
      <c r="B359" s="6" t="inlineStr">
        <is>
          <t>Joao Marco</t>
        </is>
      </c>
      <c r="C359" s="6" t="inlineStr">
        <is>
          <t>RIBEIRO LEITE</t>
        </is>
      </c>
      <c r="D359" s="6" t="n">
        <v>2024</v>
      </c>
      <c r="E359" s="6" t="inlineStr">
        <is>
          <t>IT</t>
        </is>
      </c>
      <c r="F359" s="6" t="inlineStr">
        <is>
          <t>Conventioné</t>
        </is>
      </c>
      <c r="G359" s="6" t="inlineStr">
        <is>
          <t>2023-11-13</t>
        </is>
      </c>
      <c r="H359" s="6" t="inlineStr">
        <is>
          <t>2024-03-12</t>
        </is>
      </c>
      <c r="I359" s="6" t="n"/>
      <c r="J359" s="10" t="n"/>
      <c r="K359" s="13" t="n"/>
      <c r="L359" s="10" t="n"/>
      <c r="M359" s="10" t="n"/>
      <c r="N359" s="10" t="n"/>
      <c r="O359" s="10" t="n"/>
      <c r="P359" s="10" t="n"/>
      <c r="Q359" s="10" t="inlineStr">
        <is>
          <t>⬜ À enrichir</t>
        </is>
      </c>
      <c r="R359" s="13" t="n"/>
    </row>
    <row r="360" ht="15.75" customHeight="1" s="24">
      <c r="A360" s="6" t="n">
        <v>426</v>
      </c>
      <c r="B360" s="6" t="inlineStr">
        <is>
          <t>Lydia</t>
        </is>
      </c>
      <c r="C360" s="6" t="inlineStr">
        <is>
          <t>ROLLAND-PIEGUE</t>
        </is>
      </c>
      <c r="D360" s="6" t="n">
        <v>2024</v>
      </c>
      <c r="E360" s="6" t="inlineStr">
        <is>
          <t>RH</t>
        </is>
      </c>
      <c r="F360" s="6" t="inlineStr">
        <is>
          <t>Bénévole</t>
        </is>
      </c>
      <c r="G360" s="6" t="inlineStr">
        <is>
          <t>2024-01-15</t>
        </is>
      </c>
      <c r="H360" s="6" t="inlineStr">
        <is>
          <t>2024-07-12</t>
        </is>
      </c>
      <c r="I360" s="6" t="n"/>
      <c r="J360" s="10" t="n"/>
      <c r="K360" s="13" t="n"/>
      <c r="L360" s="10" t="n"/>
      <c r="M360" s="10" t="n"/>
      <c r="N360" s="10" t="n"/>
      <c r="O360" s="10" t="n"/>
      <c r="P360" s="10" t="n"/>
      <c r="Q360" s="10" t="inlineStr">
        <is>
          <t>⬜ À enrichir</t>
        </is>
      </c>
      <c r="R360" s="13" t="n"/>
    </row>
    <row r="361" ht="15.75" customHeight="1" s="24">
      <c r="A361" s="6" t="n">
        <v>429</v>
      </c>
      <c r="B361" s="6" t="inlineStr">
        <is>
          <t>Anne-Sophie</t>
        </is>
      </c>
      <c r="C361" s="6" t="inlineStr">
        <is>
          <t>ROUSSEL</t>
        </is>
      </c>
      <c r="D361" s="6" t="n">
        <v>2024</v>
      </c>
      <c r="E361" s="6" t="inlineStr">
        <is>
          <t>marketing</t>
        </is>
      </c>
      <c r="F361" s="6" t="inlineStr">
        <is>
          <t>Bénévole</t>
        </is>
      </c>
      <c r="G361" s="6" t="inlineStr">
        <is>
          <t>2023-08-07</t>
        </is>
      </c>
      <c r="H361" s="6" t="inlineStr">
        <is>
          <t>2024-02-07</t>
        </is>
      </c>
      <c r="I361" s="6" t="n"/>
      <c r="J361" s="10" t="n"/>
      <c r="K361" s="13" t="n"/>
      <c r="L361" s="10" t="n"/>
      <c r="M361" s="10" t="n"/>
      <c r="N361" s="10" t="n"/>
      <c r="O361" s="10" t="n"/>
      <c r="P361" s="10" t="n"/>
      <c r="Q361" s="10" t="inlineStr">
        <is>
          <t>⬜ À enrichir</t>
        </is>
      </c>
      <c r="R361" s="13" t="n"/>
    </row>
    <row r="362" ht="15.75" customHeight="1" s="24">
      <c r="A362" s="6" t="n">
        <v>431</v>
      </c>
      <c r="B362" s="6" t="inlineStr">
        <is>
          <t>Berna</t>
        </is>
      </c>
      <c r="C362" s="6" t="inlineStr">
        <is>
          <t>RUFADOVA</t>
        </is>
      </c>
      <c r="D362" s="6" t="n">
        <v>2024</v>
      </c>
      <c r="E362" s="6" t="inlineStr">
        <is>
          <t>RH</t>
        </is>
      </c>
      <c r="F362" s="6" t="inlineStr">
        <is>
          <t>Bénévole</t>
        </is>
      </c>
      <c r="G362" s="6" t="inlineStr">
        <is>
          <t>2024-02-07</t>
        </is>
      </c>
      <c r="H362" s="6" t="inlineStr">
        <is>
          <t>2024-06-07</t>
        </is>
      </c>
      <c r="I362" s="6" t="n"/>
      <c r="J362" s="10" t="n"/>
      <c r="K362" s="13" t="n"/>
      <c r="L362" s="10" t="n"/>
      <c r="M362" s="10" t="n"/>
      <c r="N362" s="10" t="n"/>
      <c r="O362" s="10" t="n"/>
      <c r="P362" s="10" t="n"/>
      <c r="Q362" s="10" t="inlineStr">
        <is>
          <t>⬜ À enrichir</t>
        </is>
      </c>
      <c r="R362" s="13" t="n"/>
    </row>
    <row r="363" ht="15.75" customHeight="1" s="24">
      <c r="A363" s="6" t="n">
        <v>436</v>
      </c>
      <c r="B363" s="6" t="inlineStr">
        <is>
          <t>Céline</t>
        </is>
      </c>
      <c r="C363" s="6" t="inlineStr">
        <is>
          <t>SALAMONE</t>
        </is>
      </c>
      <c r="D363" s="6" t="n">
        <v>2024</v>
      </c>
      <c r="E363" s="6" t="inlineStr">
        <is>
          <t>RH</t>
        </is>
      </c>
      <c r="F363" s="6" t="inlineStr">
        <is>
          <t>Bénévole</t>
        </is>
      </c>
      <c r="G363" s="6" t="inlineStr">
        <is>
          <t>2024-08-28</t>
        </is>
      </c>
      <c r="H363" s="6" t="inlineStr">
        <is>
          <t>2025-02-21</t>
        </is>
      </c>
      <c r="I363" s="6" t="n"/>
      <c r="J363" s="10" t="n"/>
      <c r="K363" s="13" t="n"/>
      <c r="L363" s="10" t="n"/>
      <c r="M363" s="10" t="n"/>
      <c r="N363" s="10" t="n"/>
      <c r="O363" s="10" t="n"/>
      <c r="P363" s="10" t="n"/>
      <c r="Q363" s="10" t="inlineStr">
        <is>
          <t>⬜ À enrichir</t>
        </is>
      </c>
      <c r="R363" s="13" t="n"/>
    </row>
    <row r="364" ht="15.75" customHeight="1" s="24">
      <c r="A364" s="6" t="n">
        <v>437</v>
      </c>
      <c r="B364" s="6" t="inlineStr">
        <is>
          <t>Adji</t>
        </is>
      </c>
      <c r="C364" s="6" t="inlineStr">
        <is>
          <t>SALL</t>
        </is>
      </c>
      <c r="D364" s="6" t="n">
        <v>2024</v>
      </c>
      <c r="E364" s="6" t="inlineStr">
        <is>
          <t>Juriste en droit italien - droit social</t>
        </is>
      </c>
      <c r="F364" s="6" t="inlineStr">
        <is>
          <t>Conventioné</t>
        </is>
      </c>
      <c r="G364" s="6" t="inlineStr">
        <is>
          <t>2024-06-24</t>
        </is>
      </c>
      <c r="H364" s="6" t="inlineStr">
        <is>
          <t>2024-09-27</t>
        </is>
      </c>
      <c r="I364" s="6" t="n"/>
      <c r="J364" s="10" t="n"/>
      <c r="K364" s="13" t="n"/>
      <c r="L364" s="10" t="n"/>
      <c r="M364" s="10" t="n"/>
      <c r="N364" s="10" t="n"/>
      <c r="O364" s="10" t="n"/>
      <c r="P364" s="10" t="n"/>
      <c r="Q364" s="10" t="inlineStr">
        <is>
          <t>⬜ À enrichir</t>
        </is>
      </c>
      <c r="R364" s="13" t="n"/>
    </row>
    <row r="365" ht="15.75" customHeight="1" s="24">
      <c r="A365" s="6" t="n">
        <v>438</v>
      </c>
      <c r="B365" s="6" t="inlineStr">
        <is>
          <t>Enzo</t>
        </is>
      </c>
      <c r="C365" s="6" t="inlineStr">
        <is>
          <t>SALVADO</t>
        </is>
      </c>
      <c r="D365" s="6" t="n">
        <v>2024</v>
      </c>
      <c r="E365" s="6" t="inlineStr">
        <is>
          <t>Traducteur</t>
        </is>
      </c>
      <c r="F365" s="6" t="inlineStr">
        <is>
          <t>Conventioné</t>
        </is>
      </c>
      <c r="G365" s="6" t="inlineStr">
        <is>
          <t>2024-04-22</t>
        </is>
      </c>
      <c r="H365" s="6" t="inlineStr">
        <is>
          <t>2024-07-19</t>
        </is>
      </c>
      <c r="I365" s="6" t="n"/>
      <c r="J365" s="10" t="n"/>
      <c r="K365" s="13" t="n"/>
      <c r="L365" s="10" t="n"/>
      <c r="M365" s="10" t="n"/>
      <c r="N365" s="10" t="n"/>
      <c r="O365" s="10" t="n"/>
      <c r="P365" s="10" t="n"/>
      <c r="Q365" s="10" t="inlineStr">
        <is>
          <t>⬜ À enrichir</t>
        </is>
      </c>
      <c r="R365" s="13" t="n"/>
    </row>
    <row r="366" ht="15.75" customHeight="1" s="24">
      <c r="A366" s="6" t="n">
        <v>440</v>
      </c>
      <c r="B366" s="6" t="inlineStr">
        <is>
          <t>Diarah</t>
        </is>
      </c>
      <c r="C366" s="6" t="inlineStr">
        <is>
          <t>SANGARé</t>
        </is>
      </c>
      <c r="D366" s="6" t="n">
        <v>2024</v>
      </c>
      <c r="E366" s="6" t="inlineStr">
        <is>
          <t>Comptable</t>
        </is>
      </c>
      <c r="F366" s="6" t="inlineStr">
        <is>
          <t>Bénévole</t>
        </is>
      </c>
      <c r="G366" s="6" t="inlineStr">
        <is>
          <t>2024-09-09</t>
        </is>
      </c>
      <c r="H366" s="6" t="inlineStr">
        <is>
          <t>2024-12-13</t>
        </is>
      </c>
      <c r="I366" s="6" t="n"/>
      <c r="J366" s="10" t="n"/>
      <c r="K366" s="13" t="n"/>
      <c r="L366" s="10" t="n"/>
      <c r="M366" s="10" t="n"/>
      <c r="N366" s="10" t="n"/>
      <c r="O366" s="10" t="n"/>
      <c r="P366" s="10" t="n"/>
      <c r="Q366" s="10" t="inlineStr">
        <is>
          <t>⬜ À enrichir</t>
        </is>
      </c>
      <c r="R366" s="13" t="n"/>
    </row>
    <row r="367" ht="15.75" customHeight="1" s="24">
      <c r="A367" s="6" t="n">
        <v>443</v>
      </c>
      <c r="B367" s="6" t="inlineStr">
        <is>
          <t>Mellie</t>
        </is>
      </c>
      <c r="C367" s="6" t="inlineStr">
        <is>
          <t>SAXOD</t>
        </is>
      </c>
      <c r="D367" s="6" t="n">
        <v>2024</v>
      </c>
      <c r="E367" s="6" t="inlineStr">
        <is>
          <t>RH</t>
        </is>
      </c>
      <c r="F367" s="6" t="inlineStr">
        <is>
          <t>Bénévole</t>
        </is>
      </c>
      <c r="G367" s="6" t="inlineStr">
        <is>
          <t>2024-03-13</t>
        </is>
      </c>
      <c r="H367" s="6" t="inlineStr">
        <is>
          <t>2024-06-13</t>
        </is>
      </c>
      <c r="I367" s="6" t="n"/>
      <c r="J367" s="10" t="n"/>
      <c r="K367" s="13" t="n"/>
      <c r="L367" s="10" t="n"/>
      <c r="M367" s="10" t="n"/>
      <c r="N367" s="10" t="n"/>
      <c r="O367" s="10" t="n"/>
      <c r="P367" s="10" t="n"/>
      <c r="Q367" s="10" t="inlineStr">
        <is>
          <t>⬜ À enrichir</t>
        </is>
      </c>
      <c r="R367" s="13" t="n"/>
    </row>
    <row r="368" ht="15.75" customHeight="1" s="24">
      <c r="A368" s="6" t="n">
        <v>447</v>
      </c>
      <c r="B368" s="6" t="inlineStr">
        <is>
          <t>Abdiace</t>
        </is>
      </c>
      <c r="C368" s="6" t="inlineStr">
        <is>
          <t>SENAHOUN</t>
        </is>
      </c>
      <c r="D368" s="6" t="n">
        <v>2024</v>
      </c>
      <c r="E368" s="6" t="inlineStr">
        <is>
          <t>Collaborateur IT</t>
        </is>
      </c>
      <c r="F368" s="6" t="inlineStr">
        <is>
          <t>Bénévole</t>
        </is>
      </c>
      <c r="G368" s="6" t="inlineStr">
        <is>
          <t>2024-06-13</t>
        </is>
      </c>
      <c r="H368" s="6" t="inlineStr">
        <is>
          <t>2024-12-13</t>
        </is>
      </c>
      <c r="I368" s="6" t="n"/>
      <c r="J368" s="10" t="n"/>
      <c r="K368" s="13" t="n"/>
      <c r="L368" s="10" t="n"/>
      <c r="M368" s="10" t="n"/>
      <c r="N368" s="10" t="n"/>
      <c r="O368" s="10" t="n"/>
      <c r="P368" s="10" t="n"/>
      <c r="Q368" s="10" t="inlineStr">
        <is>
          <t>⬜ À enrichir</t>
        </is>
      </c>
      <c r="R368" s="13" t="n"/>
    </row>
    <row r="369" ht="15.75" customHeight="1" s="24">
      <c r="A369" s="6" t="n">
        <v>450</v>
      </c>
      <c r="B369" s="6" t="inlineStr">
        <is>
          <t>Dominique</t>
        </is>
      </c>
      <c r="C369" s="6" t="inlineStr">
        <is>
          <t>SIALOU</t>
        </is>
      </c>
      <c r="D369" s="6" t="n">
        <v>2024</v>
      </c>
      <c r="E369" s="6" t="inlineStr">
        <is>
          <t>RH</t>
        </is>
      </c>
      <c r="F369" s="6" t="inlineStr">
        <is>
          <t>Conventioné</t>
        </is>
      </c>
      <c r="G369" s="6" t="inlineStr">
        <is>
          <t>2024-05-08</t>
        </is>
      </c>
      <c r="H369" s="6" t="inlineStr">
        <is>
          <t>2024-09-08</t>
        </is>
      </c>
      <c r="I369" s="6" t="n"/>
      <c r="J369" s="10" t="n"/>
      <c r="K369" s="13" t="n"/>
      <c r="L369" s="10" t="n"/>
      <c r="M369" s="10" t="n"/>
      <c r="N369" s="10" t="n"/>
      <c r="O369" s="10" t="n"/>
      <c r="P369" s="10" t="n"/>
      <c r="Q369" s="10" t="inlineStr">
        <is>
          <t>⬜ À enrichir</t>
        </is>
      </c>
      <c r="R369" s="13" t="n"/>
    </row>
    <row r="370" ht="15.75" customHeight="1" s="24">
      <c r="A370" s="6" t="n">
        <v>456</v>
      </c>
      <c r="B370" s="6" t="inlineStr">
        <is>
          <t>Danielle</t>
        </is>
      </c>
      <c r="C370" s="6" t="inlineStr">
        <is>
          <t>SORO</t>
        </is>
      </c>
      <c r="D370" s="6" t="n">
        <v>2024</v>
      </c>
      <c r="E370" s="6" t="inlineStr">
        <is>
          <t>Cartographie</t>
        </is>
      </c>
      <c r="F370" s="6" t="inlineStr">
        <is>
          <t>Bénévole</t>
        </is>
      </c>
      <c r="G370" s="6" t="inlineStr">
        <is>
          <t>2023-07-03</t>
        </is>
      </c>
      <c r="H370" s="6" t="inlineStr">
        <is>
          <t>2024-01-26</t>
        </is>
      </c>
      <c r="I370" s="6" t="n"/>
      <c r="J370" s="10" t="n"/>
      <c r="K370" s="13" t="n"/>
      <c r="L370" s="10" t="n"/>
      <c r="M370" s="10" t="n"/>
      <c r="N370" s="10" t="n"/>
      <c r="O370" s="10" t="n"/>
      <c r="P370" s="10" t="n"/>
      <c r="Q370" s="10" t="inlineStr">
        <is>
          <t>⬜ À enrichir</t>
        </is>
      </c>
      <c r="R370" s="13" t="n"/>
    </row>
    <row r="371" ht="15.75" customHeight="1" s="24">
      <c r="A371" s="6" t="n">
        <v>460</v>
      </c>
      <c r="B371" s="6" t="inlineStr">
        <is>
          <t>Bastien</t>
        </is>
      </c>
      <c r="C371" s="6" t="inlineStr">
        <is>
          <t>SUCCI</t>
        </is>
      </c>
      <c r="D371" s="6" t="n">
        <v>2024</v>
      </c>
      <c r="E371" s="6" t="inlineStr">
        <is>
          <t>IT</t>
        </is>
      </c>
      <c r="F371" s="6" t="inlineStr">
        <is>
          <t>Conventioné</t>
        </is>
      </c>
      <c r="G371" s="6" t="inlineStr">
        <is>
          <t>2025-03-20</t>
        </is>
      </c>
      <c r="H371" s="6" t="inlineStr">
        <is>
          <t>2025-06-18</t>
        </is>
      </c>
      <c r="I371" s="6" t="n"/>
      <c r="J371" s="10" t="n"/>
      <c r="K371" s="13" t="n"/>
      <c r="L371" s="10" t="n"/>
      <c r="M371" s="10" t="n"/>
      <c r="N371" s="10" t="n"/>
      <c r="O371" s="10" t="n"/>
      <c r="P371" s="10" t="n"/>
      <c r="Q371" s="10" t="inlineStr">
        <is>
          <t>⬜ À enrichir</t>
        </is>
      </c>
      <c r="R371" s="13" t="n"/>
    </row>
    <row r="372" ht="15.75" customHeight="1" s="24">
      <c r="A372" s="6" t="n">
        <v>462</v>
      </c>
      <c r="B372" s="6" t="inlineStr">
        <is>
          <t>Raphael</t>
        </is>
      </c>
      <c r="C372" s="6" t="inlineStr">
        <is>
          <t>Safra-Dufossey</t>
        </is>
      </c>
      <c r="D372" s="6" t="n">
        <v>2024</v>
      </c>
      <c r="E372" s="6" t="inlineStr">
        <is>
          <t>developpeur web</t>
        </is>
      </c>
      <c r="F372" s="6" t="inlineStr">
        <is>
          <t>Conventioné</t>
        </is>
      </c>
      <c r="G372" s="6" t="inlineStr">
        <is>
          <t>2024-02-19</t>
        </is>
      </c>
      <c r="H372" s="6" t="inlineStr">
        <is>
          <t>2024-05-17</t>
        </is>
      </c>
      <c r="I372" s="6" t="n"/>
      <c r="J372" s="10" t="n"/>
      <c r="K372" s="13" t="n"/>
      <c r="L372" s="10" t="n"/>
      <c r="M372" s="10" t="n"/>
      <c r="N372" s="10" t="n"/>
      <c r="O372" s="10" t="n"/>
      <c r="P372" s="10" t="n"/>
      <c r="Q372" s="10" t="inlineStr">
        <is>
          <t>⬜ À enrichir</t>
        </is>
      </c>
      <c r="R372" s="10" t="n"/>
    </row>
    <row r="373" ht="15.75" customHeight="1" s="24">
      <c r="A373" s="6" t="n">
        <v>463</v>
      </c>
      <c r="B373" s="6" t="inlineStr">
        <is>
          <t>Judicaël</t>
        </is>
      </c>
      <c r="C373" s="6" t="inlineStr">
        <is>
          <t>Saint-Genez</t>
        </is>
      </c>
      <c r="D373" s="6" t="n">
        <v>2024</v>
      </c>
      <c r="E373" s="6" t="inlineStr">
        <is>
          <t>Design</t>
        </is>
      </c>
      <c r="F373" s="6" t="inlineStr">
        <is>
          <t>Bénévole</t>
        </is>
      </c>
      <c r="G373" s="6" t="inlineStr">
        <is>
          <t>2024-02-05</t>
        </is>
      </c>
      <c r="H373" s="6" t="inlineStr">
        <is>
          <t>2024-08-02</t>
        </is>
      </c>
      <c r="I373" s="6" t="n"/>
      <c r="J373" s="10" t="n"/>
      <c r="K373" s="13" t="n"/>
      <c r="L373" s="10" t="n"/>
      <c r="M373" s="10" t="n"/>
      <c r="N373" s="10" t="n"/>
      <c r="O373" s="10" t="n"/>
      <c r="P373" s="10" t="n"/>
      <c r="Q373" s="10" t="inlineStr">
        <is>
          <t>⬜ À enrichir</t>
        </is>
      </c>
      <c r="R373" s="10" t="n"/>
    </row>
    <row r="374" ht="15.75" customHeight="1" s="24">
      <c r="A374" s="6" t="n">
        <v>464</v>
      </c>
      <c r="B374" s="6" t="inlineStr">
        <is>
          <t>Noria</t>
        </is>
      </c>
      <c r="C374" s="6" t="inlineStr">
        <is>
          <t>Salhi</t>
        </is>
      </c>
      <c r="D374" s="6" t="n">
        <v>2024</v>
      </c>
      <c r="E374" s="6" t="inlineStr">
        <is>
          <t>Coordinateur.trice de projet Marketing - Branding</t>
        </is>
      </c>
      <c r="F374" s="6" t="inlineStr">
        <is>
          <t>Conventioné</t>
        </is>
      </c>
      <c r="G374" s="6" t="inlineStr">
        <is>
          <t>2024-07-01</t>
        </is>
      </c>
      <c r="H374" s="6" t="inlineStr">
        <is>
          <t>2024-10-04</t>
        </is>
      </c>
      <c r="I374" s="6" t="n"/>
      <c r="J374" s="10" t="n"/>
      <c r="K374" s="13" t="n"/>
      <c r="L374" s="10" t="n"/>
      <c r="M374" s="10" t="n"/>
      <c r="N374" s="10" t="n"/>
      <c r="O374" s="10" t="n"/>
      <c r="P374" s="10" t="n"/>
      <c r="Q374" s="10" t="inlineStr">
        <is>
          <t>⬜ À enrichir</t>
        </is>
      </c>
      <c r="R374" s="10" t="n"/>
    </row>
    <row r="375" ht="15.75" customHeight="1" s="24">
      <c r="A375" s="6" t="n">
        <v>465</v>
      </c>
      <c r="B375" s="6" t="inlineStr">
        <is>
          <t>Seydou</t>
        </is>
      </c>
      <c r="C375" s="6" t="inlineStr">
        <is>
          <t>Sangare</t>
        </is>
      </c>
      <c r="D375" s="6" t="n">
        <v>2024</v>
      </c>
      <c r="E375" s="6" t="inlineStr">
        <is>
          <t>conseiller agricole</t>
        </is>
      </c>
      <c r="F375" s="6" t="inlineStr">
        <is>
          <t>Bénévole</t>
        </is>
      </c>
      <c r="G375" s="6" t="inlineStr">
        <is>
          <t>2023-10-02</t>
        </is>
      </c>
      <c r="H375" s="6" t="inlineStr">
        <is>
          <t>2024-03-02</t>
        </is>
      </c>
      <c r="I375" s="6" t="n"/>
      <c r="J375" s="10" t="n"/>
      <c r="K375" s="13" t="n"/>
      <c r="L375" s="10" t="n"/>
      <c r="M375" s="10" t="n"/>
      <c r="N375" s="10" t="n"/>
      <c r="O375" s="10" t="n"/>
      <c r="P375" s="10" t="n"/>
      <c r="Q375" s="10" t="inlineStr">
        <is>
          <t>⬜ À enrichir</t>
        </is>
      </c>
      <c r="R375" s="10" t="n"/>
    </row>
    <row r="376" ht="15.75" customHeight="1" s="24">
      <c r="A376" s="6" t="n">
        <v>466</v>
      </c>
      <c r="B376" s="6" t="inlineStr">
        <is>
          <t>Mohamed</t>
        </is>
      </c>
      <c r="C376" s="6" t="inlineStr">
        <is>
          <t>TAHARI</t>
        </is>
      </c>
      <c r="D376" s="6" t="n">
        <v>2024</v>
      </c>
      <c r="E376" s="6" t="inlineStr">
        <is>
          <t>Collaborateur Environnement</t>
        </is>
      </c>
      <c r="F376" s="6" t="inlineStr">
        <is>
          <t>Bénévole</t>
        </is>
      </c>
      <c r="G376" s="6" t="inlineStr">
        <is>
          <t>2023-08-14</t>
        </is>
      </c>
      <c r="H376" s="6" t="inlineStr">
        <is>
          <t>2024-02-14</t>
        </is>
      </c>
      <c r="I376" s="6" t="n"/>
      <c r="J376" s="10" t="n"/>
      <c r="K376" s="13" t="n"/>
      <c r="L376" s="10" t="n"/>
      <c r="M376" s="10" t="n"/>
      <c r="N376" s="10" t="n"/>
      <c r="O376" s="10" t="n"/>
      <c r="P376" s="10" t="n"/>
      <c r="Q376" s="10" t="inlineStr">
        <is>
          <t>⬜ À enrichir</t>
        </is>
      </c>
      <c r="R376" s="10" t="n"/>
    </row>
    <row r="377" ht="15.75" customHeight="1" s="24">
      <c r="A377" s="6" t="n">
        <v>467</v>
      </c>
      <c r="B377" s="6" t="inlineStr">
        <is>
          <t>Mohamed</t>
        </is>
      </c>
      <c r="C377" s="6" t="inlineStr">
        <is>
          <t>TAISSIR</t>
        </is>
      </c>
      <c r="D377" s="6" t="n">
        <v>2024</v>
      </c>
      <c r="E377" s="6" t="inlineStr">
        <is>
          <t>Cartopheur</t>
        </is>
      </c>
      <c r="F377" s="6" t="inlineStr">
        <is>
          <t>Bénévole</t>
        </is>
      </c>
      <c r="G377" s="6" t="inlineStr">
        <is>
          <t>2024-06-10</t>
        </is>
      </c>
      <c r="H377" s="6" t="inlineStr">
        <is>
          <t>2024-09-13</t>
        </is>
      </c>
      <c r="I377" s="6" t="n"/>
      <c r="J377" s="10" t="n"/>
      <c r="K377" s="13" t="n"/>
      <c r="L377" s="10" t="n"/>
      <c r="M377" s="10" t="n"/>
      <c r="N377" s="10" t="n"/>
      <c r="O377" s="10" t="n"/>
      <c r="P377" s="10" t="n"/>
      <c r="Q377" s="10" t="inlineStr">
        <is>
          <t>⬜ À enrichir</t>
        </is>
      </c>
      <c r="R377" s="10" t="n"/>
    </row>
    <row r="378" ht="15.75" customHeight="1" s="24">
      <c r="A378" s="6" t="n">
        <v>468</v>
      </c>
      <c r="B378" s="6" t="inlineStr">
        <is>
          <t>Emmanuel</t>
        </is>
      </c>
      <c r="C378" s="6" t="inlineStr">
        <is>
          <t>TANOH</t>
        </is>
      </c>
      <c r="D378" s="6" t="n">
        <v>2024</v>
      </c>
      <c r="E378" s="6" t="inlineStr">
        <is>
          <t>Analyst budget</t>
        </is>
      </c>
      <c r="F378" s="6" t="inlineStr">
        <is>
          <t>Bénévole</t>
        </is>
      </c>
      <c r="G378" s="6" t="inlineStr">
        <is>
          <t>2024-09-02</t>
        </is>
      </c>
      <c r="H378" s="6" t="inlineStr">
        <is>
          <t>2025-03-21</t>
        </is>
      </c>
      <c r="I378" s="6" t="n"/>
      <c r="J378" s="10" t="n"/>
      <c r="K378" s="13" t="n"/>
      <c r="L378" s="10" t="n"/>
      <c r="M378" s="10" t="n"/>
      <c r="N378" s="10" t="n"/>
      <c r="O378" s="10" t="n"/>
      <c r="P378" s="10" t="n"/>
      <c r="Q378" s="10" t="inlineStr">
        <is>
          <t>⬜ À enrichir</t>
        </is>
      </c>
      <c r="R378" s="10" t="n"/>
    </row>
    <row r="379" ht="15.75" customHeight="1" s="24">
      <c r="A379" s="6" t="n">
        <v>469</v>
      </c>
      <c r="B379" s="6" t="inlineStr">
        <is>
          <t>Zounkifirou</t>
        </is>
      </c>
      <c r="C379" s="6" t="inlineStr">
        <is>
          <t>TAPON</t>
        </is>
      </c>
      <c r="D379" s="6" t="n">
        <v>2024</v>
      </c>
      <c r="E379" s="6" t="inlineStr">
        <is>
          <t xml:space="preserve">Assistant géologue </t>
        </is>
      </c>
      <c r="F379" s="6" t="inlineStr">
        <is>
          <t>Bénévole</t>
        </is>
      </c>
      <c r="G379" s="6" t="inlineStr">
        <is>
          <t>2025-01-28</t>
        </is>
      </c>
      <c r="H379" s="6" t="inlineStr">
        <is>
          <t>2025-08-01</t>
        </is>
      </c>
      <c r="I379" s="6" t="n"/>
      <c r="J379" s="10" t="n"/>
      <c r="K379" s="13" t="n"/>
      <c r="L379" s="10" t="n"/>
      <c r="M379" s="10" t="n"/>
      <c r="N379" s="10" t="n"/>
      <c r="O379" s="10" t="n"/>
      <c r="P379" s="10" t="n"/>
      <c r="Q379" s="10" t="inlineStr">
        <is>
          <t>⬜ À enrichir</t>
        </is>
      </c>
      <c r="R379" s="10" t="n"/>
    </row>
    <row r="380" ht="15.75" customHeight="1" s="24">
      <c r="A380" s="6" t="n">
        <v>473</v>
      </c>
      <c r="B380" s="6" t="inlineStr">
        <is>
          <t>Daniyom</t>
        </is>
      </c>
      <c r="C380" s="6" t="inlineStr">
        <is>
          <t>TEKLEHAIMANOT</t>
        </is>
      </c>
      <c r="D380" s="6" t="n">
        <v>2024</v>
      </c>
      <c r="E380" s="6" t="inlineStr">
        <is>
          <t>Coordinateur admin</t>
        </is>
      </c>
      <c r="F380" s="6" t="inlineStr">
        <is>
          <t>Bénévole</t>
        </is>
      </c>
      <c r="G380" s="6" t="inlineStr">
        <is>
          <t>2024-06-17</t>
        </is>
      </c>
      <c r="H380" s="6" t="inlineStr">
        <is>
          <t>2024-09-13</t>
        </is>
      </c>
      <c r="I380" s="6" t="n"/>
      <c r="J380" s="10" t="n"/>
      <c r="K380" s="13" t="n"/>
      <c r="L380" s="10" t="n"/>
      <c r="M380" s="10" t="n"/>
      <c r="N380" s="10" t="n"/>
      <c r="O380" s="10" t="n"/>
      <c r="P380" s="10" t="n"/>
      <c r="Q380" s="10" t="inlineStr">
        <is>
          <t>⬜ À enrichir</t>
        </is>
      </c>
      <c r="R380" s="10" t="n"/>
    </row>
    <row r="381" ht="15.75" customHeight="1" s="24">
      <c r="A381" s="6" t="n">
        <v>475</v>
      </c>
      <c r="B381" s="6" t="inlineStr">
        <is>
          <t>Amisatou</t>
        </is>
      </c>
      <c r="C381" s="6" t="inlineStr">
        <is>
          <t>THIAM</t>
        </is>
      </c>
      <c r="D381" s="6" t="n">
        <v>2024</v>
      </c>
      <c r="E381" s="6" t="inlineStr">
        <is>
          <t>IT</t>
        </is>
      </c>
      <c r="F381" s="6" t="inlineStr">
        <is>
          <t>Bénévole</t>
        </is>
      </c>
      <c r="G381" s="6" t="inlineStr">
        <is>
          <t>2024-09-23</t>
        </is>
      </c>
      <c r="H381" s="6" t="inlineStr">
        <is>
          <t>2025-04-11</t>
        </is>
      </c>
      <c r="I381" s="6" t="n"/>
      <c r="J381" s="10" t="n"/>
      <c r="K381" s="13" t="n"/>
      <c r="L381" s="10" t="n"/>
      <c r="M381" s="10" t="n"/>
      <c r="N381" s="10" t="n"/>
      <c r="O381" s="10" t="n"/>
      <c r="P381" s="10" t="n"/>
      <c r="Q381" s="10" t="inlineStr">
        <is>
          <t>⬜ À enrichir</t>
        </is>
      </c>
      <c r="R381" s="10" t="n"/>
    </row>
    <row r="382" ht="15.75" customHeight="1" s="24">
      <c r="A382" s="6" t="n">
        <v>485</v>
      </c>
      <c r="B382" s="6" t="inlineStr">
        <is>
          <t>Alanick</t>
        </is>
      </c>
      <c r="C382" s="6" t="inlineStr">
        <is>
          <t>TSIBOU SIEWE</t>
        </is>
      </c>
      <c r="D382" s="6" t="n">
        <v>2024</v>
      </c>
      <c r="E382" s="6" t="inlineStr">
        <is>
          <t>Analyste financier</t>
        </is>
      </c>
      <c r="F382" s="6" t="inlineStr">
        <is>
          <t>Bénévole</t>
        </is>
      </c>
      <c r="G382" s="6" t="inlineStr">
        <is>
          <t>2024-08-26</t>
        </is>
      </c>
      <c r="H382" s="6" t="inlineStr">
        <is>
          <t>2025-02-28</t>
        </is>
      </c>
      <c r="I382" s="6" t="n"/>
      <c r="J382" s="10" t="n"/>
      <c r="K382" s="13" t="n"/>
      <c r="L382" s="10" t="n"/>
      <c r="M382" s="10" t="n"/>
      <c r="N382" s="10" t="n"/>
      <c r="O382" s="10" t="n"/>
      <c r="P382" s="10" t="n"/>
      <c r="Q382" s="10" t="inlineStr">
        <is>
          <t>⬜ À enrichir</t>
        </is>
      </c>
      <c r="R382" s="10" t="n"/>
    </row>
    <row r="383" ht="15.75" customHeight="1" s="24">
      <c r="A383" s="6" t="n">
        <v>486</v>
      </c>
      <c r="B383" s="6" t="inlineStr">
        <is>
          <t>Thierry</t>
        </is>
      </c>
      <c r="C383" s="6" t="inlineStr">
        <is>
          <t>TUSALAMO</t>
        </is>
      </c>
      <c r="D383" s="6" t="n">
        <v>2024</v>
      </c>
      <c r="E383" s="6" t="inlineStr">
        <is>
          <t>support IT</t>
        </is>
      </c>
      <c r="F383" s="6" t="inlineStr">
        <is>
          <t>Conventioné</t>
        </is>
      </c>
      <c r="G383" s="6" t="inlineStr">
        <is>
          <t>2024-10-15</t>
        </is>
      </c>
      <c r="H383" s="6" t="inlineStr">
        <is>
          <t>2024-03-02</t>
        </is>
      </c>
      <c r="I383" s="6" t="n"/>
      <c r="J383" s="10" t="n"/>
      <c r="K383" s="13" t="n"/>
      <c r="L383" s="10" t="n"/>
      <c r="M383" s="10" t="n"/>
      <c r="N383" s="10" t="n"/>
      <c r="O383" s="10" t="n"/>
      <c r="P383" s="10" t="n"/>
      <c r="Q383" s="10" t="inlineStr">
        <is>
          <t>⬜ À enrichir</t>
        </is>
      </c>
      <c r="R383" s="10" t="n"/>
    </row>
    <row r="384" ht="15.75" customHeight="1" s="24">
      <c r="A384" s="6" t="n">
        <v>492</v>
      </c>
      <c r="B384" s="6" t="inlineStr">
        <is>
          <t>Mélissa</t>
        </is>
      </c>
      <c r="C384" s="6" t="inlineStr">
        <is>
          <t>VERNAY</t>
        </is>
      </c>
      <c r="D384" s="6" t="n">
        <v>2024</v>
      </c>
      <c r="E384" s="6" t="inlineStr">
        <is>
          <t>Coordinatrice Agriculture durable</t>
        </is>
      </c>
      <c r="F384" s="6" t="inlineStr">
        <is>
          <t>Bénévole</t>
        </is>
      </c>
      <c r="G384" s="6" t="inlineStr">
        <is>
          <t>2024-06-25</t>
        </is>
      </c>
      <c r="H384" s="6" t="inlineStr">
        <is>
          <t>2024-12-20</t>
        </is>
      </c>
      <c r="I384" s="6" t="n"/>
      <c r="J384" s="10" t="n"/>
      <c r="K384" s="13" t="n"/>
      <c r="L384" s="10" t="n"/>
      <c r="M384" s="10" t="n"/>
      <c r="N384" s="10" t="n"/>
      <c r="O384" s="10" t="n"/>
      <c r="P384" s="10" t="n"/>
      <c r="Q384" s="10" t="inlineStr">
        <is>
          <t>⬜ À enrichir</t>
        </is>
      </c>
      <c r="R384" s="10" t="n"/>
    </row>
    <row r="385" ht="15.75" customHeight="1" s="24">
      <c r="A385" s="6" t="n">
        <v>493</v>
      </c>
      <c r="B385" s="6" t="inlineStr">
        <is>
          <t>Alessio</t>
        </is>
      </c>
      <c r="C385" s="6" t="inlineStr">
        <is>
          <t>Valenti</t>
        </is>
      </c>
      <c r="D385" s="6" t="n">
        <v>2024</v>
      </c>
      <c r="E385" s="6" t="inlineStr">
        <is>
          <t>Chef IT</t>
        </is>
      </c>
      <c r="F385" s="6" t="inlineStr">
        <is>
          <t>Bénévole</t>
        </is>
      </c>
      <c r="G385" s="6" t="inlineStr">
        <is>
          <t>2024-08-12</t>
        </is>
      </c>
      <c r="H385" s="6" t="n"/>
      <c r="I385" s="6" t="n"/>
      <c r="J385" s="10" t="n"/>
      <c r="K385" s="13" t="n"/>
      <c r="L385" s="10" t="n"/>
      <c r="M385" s="10" t="n"/>
      <c r="N385" s="10" t="n"/>
      <c r="O385" s="10" t="n"/>
      <c r="P385" s="10" t="n"/>
      <c r="Q385" s="10" t="inlineStr">
        <is>
          <t>⬜ À enrichir</t>
        </is>
      </c>
      <c r="R385" s="10" t="n"/>
    </row>
    <row r="386" ht="15.75" customHeight="1" s="24">
      <c r="A386" s="6" t="n">
        <v>502</v>
      </c>
      <c r="B386" s="6" t="inlineStr">
        <is>
          <t>Mélanie</t>
        </is>
      </c>
      <c r="C386" s="6" t="inlineStr">
        <is>
          <t>Yosefi-Bienvenu</t>
        </is>
      </c>
      <c r="D386" s="6" t="n">
        <v>2024</v>
      </c>
      <c r="E386" s="6" t="inlineStr">
        <is>
          <t>Comptable</t>
        </is>
      </c>
      <c r="F386" s="6" t="inlineStr">
        <is>
          <t>Bénévole</t>
        </is>
      </c>
      <c r="G386" s="6" t="inlineStr">
        <is>
          <t>2024-09-23</t>
        </is>
      </c>
      <c r="H386" s="6" t="inlineStr">
        <is>
          <t>2025-10-31</t>
        </is>
      </c>
      <c r="I386" s="6" t="n"/>
      <c r="J386" s="10" t="n"/>
      <c r="K386" s="13" t="n"/>
      <c r="L386" s="10" t="n"/>
      <c r="M386" s="10" t="n"/>
      <c r="N386" s="10" t="n"/>
      <c r="O386" s="10" t="n"/>
      <c r="P386" s="10" t="n"/>
      <c r="Q386" s="10" t="inlineStr">
        <is>
          <t>⬜ À enrichir</t>
        </is>
      </c>
      <c r="R386" s="10" t="n"/>
    </row>
    <row r="387" ht="15.75" customHeight="1" s="24">
      <c r="A387" s="6" t="n">
        <v>508</v>
      </c>
      <c r="B387" s="6" t="inlineStr">
        <is>
          <t>Amina</t>
        </is>
      </c>
      <c r="C387" s="6" t="inlineStr">
        <is>
          <t>ZOUNGRANA</t>
        </is>
      </c>
      <c r="D387" s="6" t="n">
        <v>2024</v>
      </c>
      <c r="E387" s="6" t="inlineStr">
        <is>
          <t>IT</t>
        </is>
      </c>
      <c r="F387" s="6" t="inlineStr">
        <is>
          <t>Bénévole</t>
        </is>
      </c>
      <c r="G387" s="6" t="inlineStr">
        <is>
          <t>2024-09-23</t>
        </is>
      </c>
      <c r="H387" s="6" t="inlineStr">
        <is>
          <t>2025-04-11</t>
        </is>
      </c>
      <c r="I387" s="6" t="n"/>
      <c r="J387" s="10" t="n"/>
      <c r="K387" s="13" t="n"/>
      <c r="L387" s="10" t="n"/>
      <c r="M387" s="10" t="n"/>
      <c r="N387" s="10" t="n"/>
      <c r="O387" s="10" t="n"/>
      <c r="P387" s="10" t="n"/>
      <c r="Q387" s="10" t="inlineStr">
        <is>
          <t>⬜ À enrichir</t>
        </is>
      </c>
      <c r="R387" s="10" t="n"/>
    </row>
    <row r="388" ht="15.75" customHeight="1" s="24">
      <c r="A388" s="6" t="n">
        <v>510</v>
      </c>
      <c r="B388" s="6" t="inlineStr">
        <is>
          <t>thibault</t>
        </is>
      </c>
      <c r="C388" s="6" t="inlineStr">
        <is>
          <t>briand</t>
        </is>
      </c>
      <c r="D388" s="6" t="n">
        <v>2024</v>
      </c>
      <c r="E388" s="6" t="inlineStr">
        <is>
          <t xml:space="preserve"> Analyste financier</t>
        </is>
      </c>
      <c r="F388" s="6" t="inlineStr">
        <is>
          <t>Bénévole</t>
        </is>
      </c>
      <c r="G388" s="6" t="inlineStr">
        <is>
          <t>2023-01-29</t>
        </is>
      </c>
      <c r="H388" s="6" t="inlineStr">
        <is>
          <t>2024-10-25</t>
        </is>
      </c>
      <c r="I388" s="6" t="n"/>
      <c r="J388" s="10" t="n"/>
      <c r="K388" s="13" t="n"/>
      <c r="L388" s="10" t="n"/>
      <c r="M388" s="10" t="n"/>
      <c r="N388" s="10" t="n"/>
      <c r="O388" s="10" t="n"/>
      <c r="P388" s="10" t="n"/>
      <c r="Q388" s="10" t="inlineStr">
        <is>
          <t>⬜ À enrichir</t>
        </is>
      </c>
      <c r="R388" s="10" t="n"/>
    </row>
    <row r="389" hidden="1" ht="15.75" customHeight="1" s="24">
      <c r="A389" s="6" t="n">
        <v>3</v>
      </c>
      <c r="B389" s="6" t="inlineStr">
        <is>
          <t>Yousra</t>
        </is>
      </c>
      <c r="C389" s="6" t="inlineStr">
        <is>
          <t>ABID</t>
        </is>
      </c>
      <c r="D389" s="6" t="n">
        <v>2025</v>
      </c>
      <c r="E389" s="6" t="inlineStr">
        <is>
          <t>Développeuse Full Stack</t>
        </is>
      </c>
      <c r="F389" s="6" t="inlineStr">
        <is>
          <t>Bénévole</t>
        </is>
      </c>
      <c r="G389" s="6" t="inlineStr">
        <is>
          <t>2025-10-09</t>
        </is>
      </c>
      <c r="H389" s="6" t="inlineStr">
        <is>
          <t>2026-05-01</t>
        </is>
      </c>
      <c r="I389" s="6" t="n"/>
      <c r="J389" s="10" t="n"/>
      <c r="K389" s="10" t="n"/>
      <c r="L389" s="10" t="n"/>
      <c r="M389" s="10" t="n"/>
      <c r="N389" s="10" t="n"/>
      <c r="O389" s="10" t="n"/>
      <c r="P389" s="10" t="n"/>
      <c r="Q389" s="10" t="inlineStr">
        <is>
          <t>⬜ À enrichir</t>
        </is>
      </c>
      <c r="R389" s="10" t="n"/>
    </row>
    <row r="390" hidden="1" ht="15.75" customHeight="1" s="24">
      <c r="A390" s="6" t="n">
        <v>13</v>
      </c>
      <c r="B390" s="6" t="inlineStr">
        <is>
          <t>Nazifou</t>
        </is>
      </c>
      <c r="C390" s="6" t="inlineStr">
        <is>
          <t>AFOLABI</t>
        </is>
      </c>
      <c r="D390" s="6" t="n">
        <v>2025</v>
      </c>
      <c r="E390" s="6" t="inlineStr">
        <is>
          <t>data scientist</t>
        </is>
      </c>
      <c r="F390" s="6" t="inlineStr">
        <is>
          <t>Conventioné</t>
        </is>
      </c>
      <c r="G390" s="6" t="inlineStr">
        <is>
          <t>2025-06-09</t>
        </is>
      </c>
      <c r="H390" s="6" t="inlineStr">
        <is>
          <t>2025-10-10</t>
        </is>
      </c>
      <c r="I390" s="6" t="n"/>
      <c r="J390" s="10" t="n"/>
      <c r="K390" s="10" t="n"/>
      <c r="L390" s="10" t="n"/>
      <c r="M390" s="10" t="n"/>
      <c r="N390" s="10" t="n"/>
      <c r="O390" s="10" t="n"/>
      <c r="P390" s="10" t="n"/>
      <c r="Q390" s="10" t="inlineStr">
        <is>
          <t>⬜ À enrichir</t>
        </is>
      </c>
      <c r="R390" s="10" t="n"/>
    </row>
    <row r="391" hidden="1" ht="15.75" customHeight="1" s="24">
      <c r="A391" s="6" t="n">
        <v>19</v>
      </c>
      <c r="B391" s="6" t="inlineStr">
        <is>
          <t>MARTIN JEREZ</t>
        </is>
      </c>
      <c r="C391" s="6" t="inlineStr">
        <is>
          <t>ALBA</t>
        </is>
      </c>
      <c r="D391" s="6" t="n">
        <v>2025</v>
      </c>
      <c r="E391" s="6" t="inlineStr">
        <is>
          <t xml:space="preserve">traduction </t>
        </is>
      </c>
      <c r="F391" s="6" t="inlineStr">
        <is>
          <t>Bénévole</t>
        </is>
      </c>
      <c r="G391" s="6" t="inlineStr">
        <is>
          <t>2024-09-19</t>
        </is>
      </c>
      <c r="H391" s="6" t="inlineStr">
        <is>
          <t>2025-04-04</t>
        </is>
      </c>
      <c r="I391" s="6" t="n"/>
      <c r="J391" s="10" t="n"/>
      <c r="K391" s="10" t="n"/>
      <c r="L391" s="10" t="n"/>
      <c r="M391" s="10" t="n"/>
      <c r="N391" s="10" t="n"/>
      <c r="O391" s="10" t="n"/>
      <c r="P391" s="10" t="n"/>
      <c r="Q391" s="10" t="inlineStr">
        <is>
          <t>⬜ À enrichir</t>
        </is>
      </c>
      <c r="R391" s="10" t="n"/>
    </row>
    <row r="392" hidden="1" ht="15.75" customHeight="1" s="24">
      <c r="A392" s="6" t="n">
        <v>22</v>
      </c>
      <c r="B392" s="6" t="inlineStr">
        <is>
          <t>Logan</t>
        </is>
      </c>
      <c r="C392" s="6" t="inlineStr">
        <is>
          <t>ALONSO</t>
        </is>
      </c>
      <c r="D392" s="6" t="n">
        <v>2025</v>
      </c>
      <c r="E392" s="6" t="inlineStr">
        <is>
          <t xml:space="preserve">Traducteur Fr Ang </t>
        </is>
      </c>
      <c r="F392" s="6" t="inlineStr">
        <is>
          <t>Conventioné</t>
        </is>
      </c>
      <c r="G392" s="6" t="inlineStr">
        <is>
          <t>2025-04-01</t>
        </is>
      </c>
      <c r="H392" s="6" t="inlineStr">
        <is>
          <t>2025-05-16</t>
        </is>
      </c>
      <c r="I392" s="6" t="inlineStr">
        <is>
          <t>Alumni gratuit</t>
        </is>
      </c>
      <c r="J392" s="10" t="n"/>
      <c r="K392" s="10" t="n"/>
      <c r="L392" s="10" t="n"/>
      <c r="M392" s="10" t="n"/>
      <c r="N392" s="10" t="n"/>
      <c r="O392" s="10" t="n"/>
      <c r="P392" s="10" t="n"/>
      <c r="Q392" s="10" t="inlineStr">
        <is>
          <t>⬜ À enrichir</t>
        </is>
      </c>
      <c r="R392" s="10" t="n"/>
    </row>
    <row r="393" hidden="1" ht="15.75" customHeight="1" s="24">
      <c r="A393" s="6" t="n">
        <v>29</v>
      </c>
      <c r="B393" s="6" t="inlineStr">
        <is>
          <t>Ana</t>
        </is>
      </c>
      <c r="C393" s="6" t="inlineStr">
        <is>
          <t>ANDRADE</t>
        </is>
      </c>
      <c r="D393" s="6" t="n">
        <v>2025</v>
      </c>
      <c r="E393" s="6" t="inlineStr">
        <is>
          <t>rh</t>
        </is>
      </c>
      <c r="F393" s="6" t="inlineStr">
        <is>
          <t>Conventioné</t>
        </is>
      </c>
      <c r="G393" s="6" t="inlineStr">
        <is>
          <t>2025-06-04</t>
        </is>
      </c>
      <c r="H393" s="6" t="inlineStr">
        <is>
          <t>2026-09-05</t>
        </is>
      </c>
      <c r="I393" s="6" t="inlineStr">
        <is>
          <t>Non</t>
        </is>
      </c>
      <c r="J393" s="10" t="n"/>
      <c r="K393" s="10" t="n"/>
      <c r="L393" s="10" t="n"/>
      <c r="M393" s="10" t="n"/>
      <c r="N393" s="10" t="n"/>
      <c r="O393" s="10" t="n"/>
      <c r="P393" s="10" t="n"/>
      <c r="Q393" s="10" t="inlineStr">
        <is>
          <t>⬜ À enrichir</t>
        </is>
      </c>
      <c r="R393" s="10" t="n"/>
    </row>
    <row r="394" hidden="1" ht="15.75" customHeight="1" s="24">
      <c r="A394" s="6" t="n">
        <v>36</v>
      </c>
      <c r="B394" s="6" t="inlineStr">
        <is>
          <t>Lucyla</t>
        </is>
      </c>
      <c r="C394" s="6" t="inlineStr">
        <is>
          <t>ARREDONDO</t>
        </is>
      </c>
      <c r="D394" s="6" t="n">
        <v>2025</v>
      </c>
      <c r="E394" s="6" t="inlineStr">
        <is>
          <t>rh</t>
        </is>
      </c>
      <c r="F394" s="6" t="inlineStr">
        <is>
          <t>Bénévole</t>
        </is>
      </c>
      <c r="G394" s="6" t="inlineStr">
        <is>
          <t>2025-09-24</t>
        </is>
      </c>
      <c r="H394" s="6" t="inlineStr">
        <is>
          <t>2026-04-17</t>
        </is>
      </c>
      <c r="I394" s="6" t="inlineStr">
        <is>
          <t>Alumni gratuit</t>
        </is>
      </c>
      <c r="J394" s="10" t="n"/>
      <c r="K394" s="10" t="n"/>
      <c r="L394" s="10" t="n"/>
      <c r="M394" s="10" t="n"/>
      <c r="N394" s="10" t="n"/>
      <c r="O394" s="10" t="n"/>
      <c r="P394" s="10" t="n"/>
      <c r="Q394" s="10" t="inlineStr">
        <is>
          <t>⬜ À enrichir</t>
        </is>
      </c>
      <c r="R394" s="10" t="n"/>
    </row>
    <row r="395" hidden="1" ht="15.75" customHeight="1" s="24">
      <c r="A395" s="6" t="n">
        <v>46</v>
      </c>
      <c r="B395" s="6" t="inlineStr">
        <is>
          <t>Abir</t>
        </is>
      </c>
      <c r="C395" s="6" t="inlineStr">
        <is>
          <t>Amdouni</t>
        </is>
      </c>
      <c r="D395" s="6" t="n">
        <v>2025</v>
      </c>
      <c r="E395" s="6" t="inlineStr">
        <is>
          <t>Stagiaire en droit</t>
        </is>
      </c>
      <c r="F395" s="6" t="inlineStr">
        <is>
          <t>Bénévole</t>
        </is>
      </c>
      <c r="G395" s="6" t="inlineStr">
        <is>
          <t>2025-04-08</t>
        </is>
      </c>
      <c r="H395" s="6" t="inlineStr">
        <is>
          <t>2025-07-11</t>
        </is>
      </c>
      <c r="I395" s="6" t="n"/>
      <c r="J395" s="10" t="n"/>
      <c r="K395" s="10" t="n"/>
      <c r="L395" s="10" t="n"/>
      <c r="M395" s="10" t="n"/>
      <c r="N395" s="10" t="n"/>
      <c r="O395" s="10" t="n"/>
      <c r="P395" s="10" t="n"/>
      <c r="Q395" s="10" t="inlineStr">
        <is>
          <t>⬜ À enrichir</t>
        </is>
      </c>
      <c r="R395" s="10" t="n"/>
    </row>
    <row r="396" hidden="1" ht="15.75" customHeight="1" s="24">
      <c r="A396" s="6" t="n">
        <v>54</v>
      </c>
      <c r="B396" s="6" t="inlineStr">
        <is>
          <t>Mohamed N'Pouna</t>
        </is>
      </c>
      <c r="C396" s="6" t="inlineStr">
        <is>
          <t>BALDE</t>
        </is>
      </c>
      <c r="D396" s="6" t="n">
        <v>2025</v>
      </c>
      <c r="E396" s="6" t="inlineStr">
        <is>
          <t>Analyste financier - projet budget</t>
        </is>
      </c>
      <c r="F396" s="6" t="inlineStr">
        <is>
          <t>Conventioné</t>
        </is>
      </c>
      <c r="G396" s="6" t="inlineStr">
        <is>
          <t>2025-09-13</t>
        </is>
      </c>
      <c r="H396" s="6" t="inlineStr">
        <is>
          <t>2026-05-08</t>
        </is>
      </c>
      <c r="I396" s="6" t="n"/>
      <c r="J396" s="10" t="n"/>
      <c r="K396" s="10" t="n"/>
      <c r="L396" s="10" t="n"/>
      <c r="M396" s="10" t="n"/>
      <c r="N396" s="10" t="n"/>
      <c r="O396" s="10" t="n"/>
      <c r="P396" s="10" t="n"/>
      <c r="Q396" s="10" t="inlineStr">
        <is>
          <t>⬜ À enrichir</t>
        </is>
      </c>
      <c r="R396" s="10" t="n"/>
    </row>
    <row r="397" hidden="1" ht="15.75" customHeight="1" s="24">
      <c r="A397" s="6" t="n">
        <v>56</v>
      </c>
      <c r="B397" s="6" t="inlineStr">
        <is>
          <t>Marion</t>
        </is>
      </c>
      <c r="C397" s="6" t="inlineStr">
        <is>
          <t>BARATAUD</t>
        </is>
      </c>
      <c r="D397" s="6" t="n">
        <v>2025</v>
      </c>
      <c r="E397" s="6" t="inlineStr">
        <is>
          <t>rh</t>
        </is>
      </c>
      <c r="F397" s="6" t="inlineStr">
        <is>
          <t>Bénévole</t>
        </is>
      </c>
      <c r="G397" s="6" t="inlineStr">
        <is>
          <t>2024-12-18</t>
        </is>
      </c>
      <c r="H397" s="6" t="inlineStr">
        <is>
          <t>2025-07-02</t>
        </is>
      </c>
      <c r="I397" s="6" t="inlineStr">
        <is>
          <t>Alumni gratuit</t>
        </is>
      </c>
      <c r="J397" s="10" t="n"/>
      <c r="K397" s="10" t="n"/>
      <c r="L397" s="10" t="n"/>
      <c r="M397" s="10" t="n"/>
      <c r="N397" s="10" t="n"/>
      <c r="O397" s="10" t="n"/>
      <c r="P397" s="10" t="n"/>
      <c r="Q397" s="10" t="inlineStr">
        <is>
          <t>⬜ À enrichir</t>
        </is>
      </c>
      <c r="R397" s="10" t="n"/>
    </row>
    <row r="398" hidden="1" ht="15.75" customHeight="1" s="24">
      <c r="A398" s="6" t="n">
        <v>63</v>
      </c>
      <c r="B398" s="6" t="inlineStr">
        <is>
          <t>Amélie</t>
        </is>
      </c>
      <c r="C398" s="6" t="inlineStr">
        <is>
          <t>BELLEZZA</t>
        </is>
      </c>
      <c r="D398" s="6" t="n">
        <v>2025</v>
      </c>
      <c r="E398" s="6" t="inlineStr">
        <is>
          <t>Traductrice</t>
        </is>
      </c>
      <c r="F398" s="6" t="inlineStr">
        <is>
          <t>Conventioné</t>
        </is>
      </c>
      <c r="G398" s="6" t="inlineStr">
        <is>
          <t>2025-05-05</t>
        </is>
      </c>
      <c r="H398" s="6" t="inlineStr">
        <is>
          <t>2025-08-08</t>
        </is>
      </c>
      <c r="I398" s="6" t="n"/>
      <c r="J398" s="10" t="n"/>
      <c r="K398" s="10" t="n"/>
      <c r="L398" s="10" t="n"/>
      <c r="M398" s="10" t="n"/>
      <c r="N398" s="10" t="n"/>
      <c r="O398" s="10" t="n"/>
      <c r="P398" s="10" t="n"/>
      <c r="Q398" s="10" t="inlineStr">
        <is>
          <t>⬜ À enrichir</t>
        </is>
      </c>
      <c r="R398" s="10" t="n"/>
    </row>
    <row r="399" hidden="1" ht="15.75" customHeight="1" s="24">
      <c r="A399" s="6" t="n">
        <v>90</v>
      </c>
      <c r="B399" s="6" t="inlineStr">
        <is>
          <t>Ariadna</t>
        </is>
      </c>
      <c r="C399" s="6" t="inlineStr">
        <is>
          <t>BUCARDO</t>
        </is>
      </c>
      <c r="D399" s="6" t="n">
        <v>2025</v>
      </c>
      <c r="E399" s="6" t="inlineStr">
        <is>
          <t>Publication recherche sur les migrants climatiques (nouveau projet) Statistiques : commandes</t>
        </is>
      </c>
      <c r="F399" s="6" t="inlineStr">
        <is>
          <t>Bénévole</t>
        </is>
      </c>
      <c r="G399" s="6" t="inlineStr">
        <is>
          <t>2025-01-28</t>
        </is>
      </c>
      <c r="H399" s="6" t="inlineStr">
        <is>
          <t>2025-08-01</t>
        </is>
      </c>
      <c r="I399" s="6" t="inlineStr">
        <is>
          <t>Non</t>
        </is>
      </c>
      <c r="J399" s="10" t="n"/>
      <c r="K399" s="10" t="n"/>
      <c r="L399" s="10" t="n"/>
      <c r="M399" s="10" t="n"/>
      <c r="N399" s="10" t="n"/>
      <c r="O399" s="10" t="n"/>
      <c r="P399" s="10" t="n"/>
      <c r="Q399" s="10" t="inlineStr">
        <is>
          <t>⬜ À enrichir</t>
        </is>
      </c>
      <c r="R399" s="10" t="n"/>
    </row>
    <row r="400" hidden="1" ht="15.75" customHeight="1" s="24">
      <c r="A400" s="6" t="n">
        <v>98</v>
      </c>
      <c r="B400" s="6" t="inlineStr">
        <is>
          <t>Cristina</t>
        </is>
      </c>
      <c r="C400" s="6" t="inlineStr">
        <is>
          <t>CAMPOY</t>
        </is>
      </c>
      <c r="D400" s="6" t="n">
        <v>2025</v>
      </c>
      <c r="E400" s="6" t="inlineStr">
        <is>
          <t>rh</t>
        </is>
      </c>
      <c r="F400" s="6" t="inlineStr">
        <is>
          <t>Bénévole</t>
        </is>
      </c>
      <c r="G400" s="6" t="inlineStr">
        <is>
          <t>2024-11-20</t>
        </is>
      </c>
      <c r="H400" s="6" t="inlineStr">
        <is>
          <t>2025-06-13</t>
        </is>
      </c>
      <c r="I400" s="6" t="inlineStr">
        <is>
          <t>Alumni gratuit</t>
        </is>
      </c>
      <c r="J400" s="10" t="n"/>
      <c r="K400" s="10" t="n"/>
      <c r="L400" s="10" t="n"/>
      <c r="M400" s="10" t="n"/>
      <c r="N400" s="10" t="n"/>
      <c r="O400" s="10" t="n"/>
      <c r="P400" s="10" t="n"/>
      <c r="Q400" s="10" t="inlineStr">
        <is>
          <t>⬜ À enrichir</t>
        </is>
      </c>
      <c r="R400" s="10" t="n"/>
    </row>
    <row r="401" hidden="1" ht="15.75" customHeight="1" s="24">
      <c r="A401" s="6" t="n">
        <v>102</v>
      </c>
      <c r="B401" s="6" t="inlineStr">
        <is>
          <t>Marc</t>
        </is>
      </c>
      <c r="C401" s="6" t="inlineStr">
        <is>
          <t>CARBONNIER</t>
        </is>
      </c>
      <c r="D401" s="6" t="n">
        <v>2025</v>
      </c>
      <c r="E401" s="6" t="inlineStr">
        <is>
          <t>Developpeur Web</t>
        </is>
      </c>
      <c r="F401" s="6" t="inlineStr">
        <is>
          <t>Conventioné</t>
        </is>
      </c>
      <c r="G401" s="6" t="inlineStr">
        <is>
          <t>2025-09-15</t>
        </is>
      </c>
      <c r="H401" s="6" t="inlineStr">
        <is>
          <t>2025-12-15</t>
        </is>
      </c>
      <c r="I401" s="6" t="n"/>
      <c r="J401" s="10" t="n"/>
      <c r="K401" s="10" t="n"/>
      <c r="L401" s="10" t="n"/>
      <c r="M401" s="10" t="n"/>
      <c r="N401" s="10" t="n"/>
      <c r="O401" s="10" t="n"/>
      <c r="P401" s="10" t="n"/>
      <c r="Q401" s="10" t="inlineStr">
        <is>
          <t>⬜ À enrichir</t>
        </is>
      </c>
      <c r="R401" s="10" t="n"/>
    </row>
    <row r="402" hidden="1" ht="15.75" customHeight="1" s="24">
      <c r="A402" s="6" t="n">
        <v>124</v>
      </c>
      <c r="B402" s="6" t="inlineStr">
        <is>
          <t>Alexandre</t>
        </is>
      </c>
      <c r="C402" s="6" t="inlineStr">
        <is>
          <t>DAS-NEVES</t>
        </is>
      </c>
      <c r="D402" s="6" t="n">
        <v>2025</v>
      </c>
      <c r="E402" s="6" t="inlineStr">
        <is>
          <t>rh</t>
        </is>
      </c>
      <c r="F402" s="6" t="inlineStr">
        <is>
          <t>Bénévole</t>
        </is>
      </c>
      <c r="G402" s="6" t="inlineStr">
        <is>
          <t>2025-10-22</t>
        </is>
      </c>
      <c r="H402" s="6" t="inlineStr">
        <is>
          <t>2026-05-15</t>
        </is>
      </c>
      <c r="I402" s="6" t="inlineStr">
        <is>
          <t>Non</t>
        </is>
      </c>
      <c r="J402" s="10" t="n"/>
      <c r="K402" s="10" t="n"/>
      <c r="L402" s="10" t="n"/>
      <c r="M402" s="10" t="n"/>
      <c r="N402" s="10" t="n"/>
      <c r="O402" s="10" t="n"/>
      <c r="P402" s="10" t="n"/>
      <c r="Q402" s="10" t="inlineStr">
        <is>
          <t>⬜ À enrichir</t>
        </is>
      </c>
      <c r="R402" s="10" t="n"/>
    </row>
    <row r="403" hidden="1" ht="15.75" customHeight="1" s="24">
      <c r="A403" s="6" t="n">
        <v>125</v>
      </c>
      <c r="B403" s="6" t="inlineStr">
        <is>
          <t>Laura</t>
        </is>
      </c>
      <c r="C403" s="6" t="inlineStr">
        <is>
          <t>DE BON</t>
        </is>
      </c>
      <c r="D403" s="6" t="n">
        <v>2025</v>
      </c>
      <c r="E403" s="6" t="inlineStr">
        <is>
          <t>coach</t>
        </is>
      </c>
      <c r="F403" s="6" t="inlineStr">
        <is>
          <t>Bénévole</t>
        </is>
      </c>
      <c r="G403" s="6" t="inlineStr">
        <is>
          <t>2025-09-17</t>
        </is>
      </c>
      <c r="H403" s="6" t="inlineStr">
        <is>
          <t>2025-11-21</t>
        </is>
      </c>
      <c r="I403" s="6" t="inlineStr">
        <is>
          <t>Alumni gratuit</t>
        </is>
      </c>
      <c r="J403" s="10" t="n"/>
      <c r="K403" s="10" t="n"/>
      <c r="L403" s="10" t="n"/>
      <c r="M403" s="10" t="n"/>
      <c r="N403" s="10" t="n"/>
      <c r="O403" s="10" t="n"/>
      <c r="P403" s="10" t="n"/>
      <c r="Q403" s="10" t="inlineStr">
        <is>
          <t>⬜ À enrichir</t>
        </is>
      </c>
      <c r="R403" s="10" t="n"/>
    </row>
    <row r="404" hidden="1" ht="15.75" customHeight="1" s="24">
      <c r="A404" s="6" t="n">
        <v>130</v>
      </c>
      <c r="B404" s="6" t="inlineStr">
        <is>
          <t>théo</t>
        </is>
      </c>
      <c r="C404" s="6" t="inlineStr">
        <is>
          <t>DECLERCK</t>
        </is>
      </c>
      <c r="D404" s="6" t="n">
        <v>2025</v>
      </c>
      <c r="E404" s="6" t="inlineStr">
        <is>
          <t>developpeur web</t>
        </is>
      </c>
      <c r="F404" s="6" t="inlineStr">
        <is>
          <t>Conventioné</t>
        </is>
      </c>
      <c r="G404" s="6" t="inlineStr">
        <is>
          <t>2025-02-19</t>
        </is>
      </c>
      <c r="H404" s="6" t="inlineStr">
        <is>
          <t>2025-05-17</t>
        </is>
      </c>
      <c r="I404" s="6" t="n"/>
      <c r="J404" s="10" t="n"/>
      <c r="K404" s="10" t="n"/>
      <c r="L404" s="10" t="n"/>
      <c r="M404" s="10" t="n"/>
      <c r="N404" s="10" t="n"/>
      <c r="O404" s="10" t="n"/>
      <c r="P404" s="10" t="n"/>
      <c r="Q404" s="10" t="inlineStr">
        <is>
          <t>⬜ À enrichir</t>
        </is>
      </c>
      <c r="R404" s="10" t="n"/>
    </row>
    <row r="405" hidden="1" ht="15.75" customHeight="1" s="24">
      <c r="A405" s="6" t="n">
        <v>135</v>
      </c>
      <c r="B405" s="6" t="inlineStr">
        <is>
          <t>Dorothée</t>
        </is>
      </c>
      <c r="C405" s="6" t="inlineStr">
        <is>
          <t>DELMOTTE</t>
        </is>
      </c>
      <c r="D405" s="6" t="n">
        <v>2025</v>
      </c>
      <c r="E405" s="6" t="inlineStr">
        <is>
          <t>coach</t>
        </is>
      </c>
      <c r="F405" s="6" t="inlineStr">
        <is>
          <t>Bénévole</t>
        </is>
      </c>
      <c r="G405" s="6" t="inlineStr">
        <is>
          <t>2025-07-02</t>
        </is>
      </c>
      <c r="H405" s="6" t="inlineStr">
        <is>
          <t>2026-02-06</t>
        </is>
      </c>
      <c r="I405" s="6" t="inlineStr">
        <is>
          <t>Alumni gratuit</t>
        </is>
      </c>
      <c r="J405" s="10" t="n"/>
      <c r="K405" s="10" t="n"/>
      <c r="L405" s="10" t="n"/>
      <c r="M405" s="10" t="n"/>
      <c r="N405" s="10" t="n"/>
      <c r="O405" s="10" t="n"/>
      <c r="P405" s="10" t="n"/>
      <c r="Q405" s="10" t="inlineStr">
        <is>
          <t>⬜ À enrichir</t>
        </is>
      </c>
      <c r="R405" s="10" t="n"/>
    </row>
    <row r="406" hidden="1" ht="15.75" customHeight="1" s="24">
      <c r="A406" s="6" t="n">
        <v>143</v>
      </c>
      <c r="B406" s="6" t="inlineStr">
        <is>
          <t>Fatou</t>
        </is>
      </c>
      <c r="C406" s="6" t="inlineStr">
        <is>
          <t>DIAKHABY</t>
        </is>
      </c>
      <c r="D406" s="6" t="n">
        <v>2025</v>
      </c>
      <c r="E406" s="6" t="inlineStr">
        <is>
          <t>rh</t>
        </is>
      </c>
      <c r="F406" s="6" t="inlineStr">
        <is>
          <t>Bénévole</t>
        </is>
      </c>
      <c r="G406" s="6" t="inlineStr">
        <is>
          <t>2025-09-02</t>
        </is>
      </c>
      <c r="H406" s="6" t="inlineStr">
        <is>
          <t>2026-09-24</t>
        </is>
      </c>
      <c r="I406" s="6" t="inlineStr">
        <is>
          <t>Alumni gratuit</t>
        </is>
      </c>
      <c r="J406" s="10" t="n"/>
      <c r="K406" s="10" t="n"/>
      <c r="L406" s="10" t="n"/>
      <c r="M406" s="10" t="n"/>
      <c r="N406" s="10" t="n"/>
      <c r="O406" s="10" t="n"/>
      <c r="P406" s="10" t="n"/>
      <c r="Q406" s="10" t="inlineStr">
        <is>
          <t>⬜ À enrichir</t>
        </is>
      </c>
      <c r="R406" s="10" t="n"/>
    </row>
    <row r="407" hidden="1" ht="15.75" customHeight="1" s="24">
      <c r="A407" s="6" t="n">
        <v>150</v>
      </c>
      <c r="B407" s="6" t="inlineStr">
        <is>
          <t>Malika</t>
        </is>
      </c>
      <c r="C407" s="6" t="inlineStr">
        <is>
          <t>DJAGUIR</t>
        </is>
      </c>
      <c r="D407" s="6" t="n">
        <v>2025</v>
      </c>
      <c r="E407" s="6" t="inlineStr">
        <is>
          <t>Ingénieur Formation - Création de Fillières</t>
        </is>
      </c>
      <c r="F407" s="6" t="inlineStr">
        <is>
          <t>Conventioné</t>
        </is>
      </c>
      <c r="G407" s="6" t="inlineStr">
        <is>
          <t>2025-02-03</t>
        </is>
      </c>
      <c r="H407" s="6" t="inlineStr">
        <is>
          <t>2025-08-08</t>
        </is>
      </c>
      <c r="I407" s="6" t="n"/>
      <c r="J407" s="10" t="n"/>
      <c r="K407" s="10" t="n"/>
      <c r="L407" s="10" t="n"/>
      <c r="M407" s="10" t="n"/>
      <c r="N407" s="10" t="n"/>
      <c r="O407" s="10" t="n"/>
      <c r="P407" s="10" t="n"/>
      <c r="Q407" s="10" t="inlineStr">
        <is>
          <t>⬜ À enrichir</t>
        </is>
      </c>
      <c r="R407" s="10" t="n"/>
    </row>
    <row r="408" hidden="1" ht="15.75" customHeight="1" s="24">
      <c r="A408" s="6" t="n">
        <v>155</v>
      </c>
      <c r="B408" s="6" t="inlineStr">
        <is>
          <t>Melanie</t>
        </is>
      </c>
      <c r="C408" s="6" t="inlineStr">
        <is>
          <t>DUARTE MONTEIRO</t>
        </is>
      </c>
      <c r="D408" s="6" t="n">
        <v>2025</v>
      </c>
      <c r="E408" s="6" t="inlineStr">
        <is>
          <t>rh</t>
        </is>
      </c>
      <c r="F408" s="6" t="inlineStr">
        <is>
          <t>Bénévole</t>
        </is>
      </c>
      <c r="G408" s="6" t="inlineStr">
        <is>
          <t>2025-09-11</t>
        </is>
      </c>
      <c r="H408" s="6" t="inlineStr">
        <is>
          <t>2025-12-06</t>
        </is>
      </c>
      <c r="I408" s="6" t="inlineStr">
        <is>
          <t>Non</t>
        </is>
      </c>
      <c r="J408" s="10" t="n"/>
      <c r="K408" s="10" t="n"/>
      <c r="L408" s="10" t="n"/>
      <c r="M408" s="10" t="n"/>
      <c r="N408" s="10" t="n"/>
      <c r="O408" s="10" t="n"/>
      <c r="P408" s="10" t="n"/>
      <c r="Q408" s="10" t="inlineStr">
        <is>
          <t>⬜ À enrichir</t>
        </is>
      </c>
      <c r="R408" s="10" t="n"/>
    </row>
    <row r="409" hidden="1" ht="15.75" customHeight="1" s="24">
      <c r="A409" s="6" t="n">
        <v>163</v>
      </c>
      <c r="B409" s="6" t="inlineStr">
        <is>
          <t>Jordan</t>
        </is>
      </c>
      <c r="C409" s="6" t="inlineStr">
        <is>
          <t>Dovin</t>
        </is>
      </c>
      <c r="D409" s="6" t="n">
        <v>2025</v>
      </c>
      <c r="E409" s="6" t="inlineStr">
        <is>
          <t>Le projet Cities &amp; Communities Sustainable Development Platform (CCSDP)-  :Chargé.e-de-projets-Pollutions-Urbaines</t>
        </is>
      </c>
      <c r="F409" s="6" t="inlineStr">
        <is>
          <t>Bénévole</t>
        </is>
      </c>
      <c r="G409" s="6" t="inlineStr">
        <is>
          <t>2025-02-17</t>
        </is>
      </c>
      <c r="H409" s="6" t="inlineStr">
        <is>
          <t>2025-08-08</t>
        </is>
      </c>
      <c r="I409" s="6" t="n"/>
      <c r="J409" s="10" t="n"/>
      <c r="K409" s="10" t="n"/>
      <c r="L409" s="10" t="n"/>
      <c r="M409" s="10" t="n"/>
      <c r="N409" s="10" t="n"/>
      <c r="O409" s="10" t="n"/>
      <c r="P409" s="10" t="n"/>
      <c r="Q409" s="10" t="inlineStr">
        <is>
          <t>⬜ À enrichir</t>
        </is>
      </c>
      <c r="R409" s="10" t="n"/>
    </row>
    <row r="410" hidden="1" ht="15.75" customHeight="1" s="24">
      <c r="A410" s="6" t="n">
        <v>168</v>
      </c>
      <c r="B410" s="6" t="inlineStr">
        <is>
          <t>Abir</t>
        </is>
      </c>
      <c r="C410" s="6" t="inlineStr">
        <is>
          <t>EL HNAKI</t>
        </is>
      </c>
      <c r="D410" s="6" t="n">
        <v>2025</v>
      </c>
      <c r="E410" s="6" t="inlineStr">
        <is>
          <t>Chargée de projets en cartographie, topographie et SIG</t>
        </is>
      </c>
      <c r="F410" s="6" t="inlineStr">
        <is>
          <t>Bénévole</t>
        </is>
      </c>
      <c r="G410" s="6" t="inlineStr">
        <is>
          <t>2025-05-13</t>
        </is>
      </c>
      <c r="H410" s="6" t="inlineStr">
        <is>
          <t>2025-11-07</t>
        </is>
      </c>
      <c r="I410" s="6" t="n"/>
      <c r="J410" s="10" t="n"/>
      <c r="K410" s="10" t="n"/>
      <c r="L410" s="10" t="n"/>
      <c r="M410" s="10" t="n"/>
      <c r="N410" s="10" t="n"/>
      <c r="O410" s="10" t="n"/>
      <c r="P410" s="10" t="n"/>
      <c r="Q410" s="10" t="inlineStr">
        <is>
          <t>⬜ À enrichir</t>
        </is>
      </c>
      <c r="R410" s="10" t="n"/>
    </row>
    <row r="411" hidden="1" ht="15.75" customHeight="1" s="24">
      <c r="A411" s="6" t="n">
        <v>172</v>
      </c>
      <c r="B411" s="6" t="inlineStr">
        <is>
          <t>KRIS</t>
        </is>
      </c>
      <c r="C411" s="6" t="inlineStr">
        <is>
          <t>ERPE</t>
        </is>
      </c>
      <c r="D411" s="6" t="n">
        <v>2025</v>
      </c>
      <c r="E411" s="6" t="inlineStr">
        <is>
          <t xml:space="preserve">Traducteur Fr Ang </t>
        </is>
      </c>
      <c r="F411" s="6" t="inlineStr">
        <is>
          <t>Bénévole</t>
        </is>
      </c>
      <c r="G411" s="6" t="inlineStr">
        <is>
          <t>2024-10-14</t>
        </is>
      </c>
      <c r="H411" s="6" t="inlineStr">
        <is>
          <t>2025-05-02</t>
        </is>
      </c>
      <c r="I411" s="6" t="inlineStr">
        <is>
          <t>Alumni payant</t>
        </is>
      </c>
      <c r="J411" s="10" t="n"/>
      <c r="K411" s="10" t="n"/>
      <c r="L411" s="10" t="n"/>
      <c r="M411" s="10" t="n"/>
      <c r="N411" s="10" t="n"/>
      <c r="O411" s="10" t="n"/>
      <c r="P411" s="10" t="n"/>
      <c r="Q411" s="10" t="inlineStr">
        <is>
          <t>⬜ À enrichir</t>
        </is>
      </c>
      <c r="R411" s="10" t="n"/>
    </row>
    <row r="412" hidden="1" ht="15.75" customHeight="1" s="24">
      <c r="A412" s="6" t="n">
        <v>175</v>
      </c>
      <c r="B412" s="6" t="inlineStr">
        <is>
          <t>Jean-Paul</t>
        </is>
      </c>
      <c r="C412" s="6" t="inlineStr">
        <is>
          <t>EUVRARD</t>
        </is>
      </c>
      <c r="D412" s="6" t="n">
        <v>2025</v>
      </c>
      <c r="E412" s="6" t="inlineStr">
        <is>
          <t>coach</t>
        </is>
      </c>
      <c r="F412" s="6" t="inlineStr">
        <is>
          <t>Bénévole</t>
        </is>
      </c>
      <c r="G412" s="6" t="inlineStr">
        <is>
          <t>2023-11-06</t>
        </is>
      </c>
      <c r="H412" s="6" t="inlineStr">
        <is>
          <t>2024-05-31</t>
        </is>
      </c>
      <c r="I412" s="6" t="inlineStr">
        <is>
          <t>Alumni gratuit</t>
        </is>
      </c>
      <c r="J412" s="10" t="n"/>
      <c r="K412" s="10" t="n"/>
      <c r="L412" s="10" t="n"/>
      <c r="M412" s="10" t="n"/>
      <c r="N412" s="10" t="n"/>
      <c r="O412" s="10" t="n"/>
      <c r="P412" s="10" t="n"/>
      <c r="Q412" s="10" t="inlineStr">
        <is>
          <t>⬜ À enrichir</t>
        </is>
      </c>
      <c r="R412" s="10" t="n"/>
    </row>
    <row r="413" hidden="1" ht="15.75" customHeight="1" s="24">
      <c r="A413" s="6" t="n">
        <v>184</v>
      </c>
      <c r="B413" s="6" t="inlineStr">
        <is>
          <t>Coline</t>
        </is>
      </c>
      <c r="C413" s="6" t="inlineStr">
        <is>
          <t>FIDELIS</t>
        </is>
      </c>
      <c r="D413" s="6" t="n">
        <v>2025</v>
      </c>
      <c r="E413" s="6" t="inlineStr">
        <is>
          <t>Portefeuille C: Projet GES</t>
        </is>
      </c>
      <c r="F413" s="6" t="inlineStr">
        <is>
          <t>Bénévole</t>
        </is>
      </c>
      <c r="G413" s="6" t="inlineStr">
        <is>
          <t>2025-11-04</t>
        </is>
      </c>
      <c r="H413" s="6" t="inlineStr">
        <is>
          <t>2026-05-22</t>
        </is>
      </c>
      <c r="I413" s="6" t="inlineStr">
        <is>
          <t>Non</t>
        </is>
      </c>
      <c r="J413" s="10" t="n"/>
      <c r="K413" s="10" t="n"/>
      <c r="L413" s="10" t="n"/>
      <c r="M413" s="10" t="n"/>
      <c r="N413" s="10" t="n"/>
      <c r="O413" s="10" t="n"/>
      <c r="P413" s="10" t="n"/>
      <c r="Q413" s="10" t="inlineStr">
        <is>
          <t>⬜ À enrichir</t>
        </is>
      </c>
      <c r="R413" s="10" t="n"/>
    </row>
    <row r="414" hidden="1" ht="15.75" customHeight="1" s="24">
      <c r="A414" s="6" t="n">
        <v>187</v>
      </c>
      <c r="B414" s="6" t="inlineStr">
        <is>
          <t>Appoline</t>
        </is>
      </c>
      <c r="C414" s="6" t="inlineStr">
        <is>
          <t>FONTON</t>
        </is>
      </c>
      <c r="D414" s="6" t="n">
        <v>2025</v>
      </c>
      <c r="E414" s="6" t="inlineStr">
        <is>
          <t xml:space="preserve">Hapiness management </t>
        </is>
      </c>
      <c r="F414" s="6" t="inlineStr">
        <is>
          <t>Bénévole</t>
        </is>
      </c>
      <c r="G414" s="6" t="inlineStr">
        <is>
          <t>2025-11-18</t>
        </is>
      </c>
      <c r="H414" s="6" t="inlineStr">
        <is>
          <t>2025-11-25</t>
        </is>
      </c>
      <c r="I414" s="6" t="inlineStr">
        <is>
          <t>Non</t>
        </is>
      </c>
      <c r="J414" s="10" t="n"/>
      <c r="K414" s="10" t="n"/>
      <c r="L414" s="10" t="n"/>
      <c r="M414" s="10" t="n"/>
      <c r="N414" s="10" t="n"/>
      <c r="O414" s="10" t="n"/>
      <c r="P414" s="10" t="n"/>
      <c r="Q414" s="10" t="inlineStr">
        <is>
          <t>⬜ À enrichir</t>
        </is>
      </c>
      <c r="R414" s="10" t="n"/>
    </row>
    <row r="415" hidden="1" ht="15.75" customHeight="1" s="24">
      <c r="A415" s="6" t="n">
        <v>189</v>
      </c>
      <c r="B415" s="6" t="inlineStr">
        <is>
          <t>Prisca</t>
        </is>
      </c>
      <c r="C415" s="6" t="inlineStr">
        <is>
          <t>FOWE</t>
        </is>
      </c>
      <c r="D415" s="6" t="n">
        <v>2025</v>
      </c>
      <c r="E415" s="6" t="inlineStr">
        <is>
          <t>rh</t>
        </is>
      </c>
      <c r="F415" s="6" t="inlineStr">
        <is>
          <t>Bénévole</t>
        </is>
      </c>
      <c r="G415" s="6" t="inlineStr">
        <is>
          <t>2024-12-18</t>
        </is>
      </c>
      <c r="H415" s="6" t="inlineStr">
        <is>
          <t>2025-03-14</t>
        </is>
      </c>
      <c r="I415" s="6" t="inlineStr">
        <is>
          <t>Alumni gratuit</t>
        </is>
      </c>
      <c r="J415" s="10" t="n"/>
      <c r="K415" s="10" t="n"/>
      <c r="L415" s="10" t="n"/>
      <c r="M415" s="10" t="n"/>
      <c r="N415" s="10" t="n"/>
      <c r="O415" s="10" t="n"/>
      <c r="P415" s="10" t="n"/>
      <c r="Q415" s="10" t="inlineStr">
        <is>
          <t>⬜ À enrichir</t>
        </is>
      </c>
      <c r="R415" s="10" t="n"/>
    </row>
    <row r="416" hidden="1" ht="15.75" customHeight="1" s="24">
      <c r="A416" s="6" t="n">
        <v>190</v>
      </c>
      <c r="B416" s="6" t="inlineStr">
        <is>
          <t>Paola</t>
        </is>
      </c>
      <c r="C416" s="6" t="inlineStr">
        <is>
          <t>FRASCELLA</t>
        </is>
      </c>
      <c r="D416" s="6" t="n">
        <v>2025</v>
      </c>
      <c r="E416" s="6" t="inlineStr">
        <is>
          <t>Assistante RH</t>
        </is>
      </c>
      <c r="F416" s="6" t="inlineStr">
        <is>
          <t>Bénévole</t>
        </is>
      </c>
      <c r="G416" s="6" t="inlineStr">
        <is>
          <t>2025-05-21</t>
        </is>
      </c>
      <c r="H416" s="6" t="inlineStr">
        <is>
          <t>2025-11-21</t>
        </is>
      </c>
      <c r="I416" s="16" t="inlineStr">
        <is>
          <t>N'a pas rempli le questionnaire</t>
        </is>
      </c>
      <c r="J416" s="10" t="n"/>
      <c r="K416" s="10" t="n"/>
      <c r="L416" s="10" t="n"/>
      <c r="M416" s="10" t="n"/>
      <c r="N416" s="10" t="n"/>
      <c r="O416" s="10" t="n"/>
      <c r="P416" s="10" t="n"/>
      <c r="Q416" s="10" t="inlineStr">
        <is>
          <t>⬜ À enrichir</t>
        </is>
      </c>
      <c r="R416" s="10" t="n"/>
    </row>
    <row r="417" hidden="1" ht="15.75" customHeight="1" s="24">
      <c r="A417" s="6" t="n">
        <v>196</v>
      </c>
      <c r="B417" s="6" t="inlineStr">
        <is>
          <t>Zakia</t>
        </is>
      </c>
      <c r="C417" s="6" t="inlineStr">
        <is>
          <t>GADDOUR</t>
        </is>
      </c>
      <c r="D417" s="6" t="n">
        <v>2025</v>
      </c>
      <c r="E417" s="6" t="inlineStr">
        <is>
          <t>rh</t>
        </is>
      </c>
      <c r="F417" s="6" t="inlineStr">
        <is>
          <t>Bénévole</t>
        </is>
      </c>
      <c r="G417" s="6" t="inlineStr">
        <is>
          <t>2025-05-07</t>
        </is>
      </c>
      <c r="H417" s="6" t="inlineStr">
        <is>
          <t>2025-11-07</t>
        </is>
      </c>
      <c r="I417" s="6" t="inlineStr">
        <is>
          <t>Non</t>
        </is>
      </c>
      <c r="J417" s="10" t="n"/>
      <c r="K417" s="10" t="n"/>
      <c r="L417" s="10" t="n"/>
      <c r="M417" s="10" t="n"/>
      <c r="N417" s="10" t="n"/>
      <c r="O417" s="10" t="n"/>
      <c r="P417" s="10" t="n"/>
      <c r="Q417" s="10" t="inlineStr">
        <is>
          <t>⬜ À enrichir</t>
        </is>
      </c>
      <c r="R417" s="10" t="n"/>
    </row>
    <row r="418" hidden="1" ht="15.75" customHeight="1" s="24">
      <c r="A418" s="6" t="n">
        <v>201</v>
      </c>
      <c r="B418" s="6" t="inlineStr">
        <is>
          <t>Martin</t>
        </is>
      </c>
      <c r="C418" s="6" t="inlineStr">
        <is>
          <t>GALLET</t>
        </is>
      </c>
      <c r="D418" s="6" t="n">
        <v>2025</v>
      </c>
      <c r="E418" s="6" t="inlineStr">
        <is>
          <t>TRADUCTION</t>
        </is>
      </c>
      <c r="F418" s="6" t="inlineStr">
        <is>
          <t>Conventioné</t>
        </is>
      </c>
      <c r="G418" s="6" t="inlineStr">
        <is>
          <t>2025-04-22</t>
        </is>
      </c>
      <c r="H418" s="6" t="inlineStr">
        <is>
          <t>2025-09-19</t>
        </is>
      </c>
      <c r="I418" s="6" t="n"/>
      <c r="J418" s="10" t="n"/>
      <c r="K418" s="10" t="n"/>
      <c r="L418" s="10" t="n"/>
      <c r="M418" s="10" t="n"/>
      <c r="N418" s="10" t="n"/>
      <c r="O418" s="10" t="n"/>
      <c r="P418" s="10" t="n"/>
      <c r="Q418" s="10" t="inlineStr">
        <is>
          <t>⬜ À enrichir</t>
        </is>
      </c>
      <c r="R418" s="10" t="n"/>
    </row>
    <row r="419" hidden="1" ht="15.75" customHeight="1" s="24">
      <c r="A419" s="6" t="n">
        <v>204</v>
      </c>
      <c r="B419" s="6" t="inlineStr">
        <is>
          <t>Fabiola</t>
        </is>
      </c>
      <c r="C419" s="6" t="inlineStr">
        <is>
          <t>GIL</t>
        </is>
      </c>
      <c r="D419" s="6" t="n">
        <v>2025</v>
      </c>
      <c r="E419" s="6" t="inlineStr">
        <is>
          <t xml:space="preserve">Projet eco conso et sous projet cosmétique durable Projet transversale - Répertoire vert (QR code) </t>
        </is>
      </c>
      <c r="F419" s="6" t="inlineStr">
        <is>
          <t>Bénévole</t>
        </is>
      </c>
      <c r="G419" s="6" t="inlineStr">
        <is>
          <t>2025-04-22</t>
        </is>
      </c>
      <c r="H419" s="6" t="inlineStr">
        <is>
          <t>2025-10-24</t>
        </is>
      </c>
      <c r="I419" s="6" t="inlineStr">
        <is>
          <t>Alumni gratuit</t>
        </is>
      </c>
      <c r="J419" s="10" t="n"/>
      <c r="K419" s="10" t="n"/>
      <c r="L419" s="10" t="n"/>
      <c r="M419" s="10" t="n"/>
      <c r="N419" s="10" t="n"/>
      <c r="O419" s="10" t="n"/>
      <c r="P419" s="10" t="n"/>
      <c r="Q419" s="10" t="inlineStr">
        <is>
          <t>⬜ À enrichir</t>
        </is>
      </c>
      <c r="R419" s="10" t="n"/>
    </row>
    <row r="420" hidden="1" ht="15.75" customHeight="1" s="24">
      <c r="A420" s="6" t="n">
        <v>206</v>
      </c>
      <c r="B420" s="6" t="inlineStr">
        <is>
          <t>Dieynaba</t>
        </is>
      </c>
      <c r="C420" s="6" t="inlineStr">
        <is>
          <t>GNING</t>
        </is>
      </c>
      <c r="D420" s="6" t="n">
        <v>2025</v>
      </c>
      <c r="E420" s="6" t="inlineStr">
        <is>
          <t xml:space="preserve"> sous-projet GCC,Projet CCSDP  Référentiel Gouvernance </t>
        </is>
      </c>
      <c r="F420" s="6" t="inlineStr">
        <is>
          <t>Conventioné</t>
        </is>
      </c>
      <c r="G420" s="6" t="inlineStr">
        <is>
          <t>2024-09-09</t>
        </is>
      </c>
      <c r="H420" s="6" t="inlineStr">
        <is>
          <t>2025-05-09</t>
        </is>
      </c>
      <c r="I420" s="6" t="inlineStr">
        <is>
          <t>Alumni gratuit</t>
        </is>
      </c>
      <c r="J420" s="10" t="n"/>
      <c r="K420" s="10" t="n"/>
      <c r="L420" s="10" t="n"/>
      <c r="M420" s="10" t="n"/>
      <c r="N420" s="10" t="n"/>
      <c r="O420" s="10" t="n"/>
      <c r="P420" s="10" t="n"/>
      <c r="Q420" s="10" t="inlineStr">
        <is>
          <t>⬜ À enrichir</t>
        </is>
      </c>
      <c r="R420" s="10" t="n"/>
    </row>
    <row r="421" hidden="1" ht="15.75" customHeight="1" s="24">
      <c r="A421" s="6" t="n">
        <v>217</v>
      </c>
      <c r="B421" s="6" t="inlineStr">
        <is>
          <t>Laura</t>
        </is>
      </c>
      <c r="C421" s="6" t="inlineStr">
        <is>
          <t>Georget</t>
        </is>
      </c>
      <c r="D421" s="6" t="n">
        <v>2025</v>
      </c>
      <c r="E421" s="6" t="inlineStr">
        <is>
          <t>Assistante RH</t>
        </is>
      </c>
      <c r="F421" s="6" t="inlineStr">
        <is>
          <t>Bénévole</t>
        </is>
      </c>
      <c r="G421" s="6" t="inlineStr">
        <is>
          <t>2025-06-25</t>
        </is>
      </c>
      <c r="H421" s="6" t="inlineStr">
        <is>
          <t>2026-01-16</t>
        </is>
      </c>
      <c r="I421" s="6" t="n"/>
      <c r="J421" s="10" t="n"/>
      <c r="K421" s="10" t="n"/>
      <c r="L421" s="10" t="n"/>
      <c r="M421" s="10" t="n"/>
      <c r="N421" s="10" t="n"/>
      <c r="O421" s="10" t="n"/>
      <c r="P421" s="10" t="n"/>
      <c r="Q421" s="10" t="inlineStr">
        <is>
          <t>⬜ À enrichir</t>
        </is>
      </c>
      <c r="R421" s="10" t="n"/>
    </row>
    <row r="422" hidden="1" ht="15.75" customHeight="1" s="24">
      <c r="A422" s="6" t="n">
        <v>224</v>
      </c>
      <c r="B422" s="6" t="inlineStr">
        <is>
          <t>Sefika</t>
        </is>
      </c>
      <c r="C422" s="6" t="inlineStr">
        <is>
          <t>HASANOVIC</t>
        </is>
      </c>
      <c r="D422" s="6" t="n">
        <v>2025</v>
      </c>
      <c r="E422" s="6" t="inlineStr">
        <is>
          <t>rh</t>
        </is>
      </c>
      <c r="F422" s="6" t="inlineStr">
        <is>
          <t>Bénévole</t>
        </is>
      </c>
      <c r="G422" s="6" t="inlineStr">
        <is>
          <t>2025-10-29</t>
        </is>
      </c>
      <c r="H422" s="6" t="inlineStr">
        <is>
          <t>2025-12-09</t>
        </is>
      </c>
      <c r="I422" s="6" t="inlineStr">
        <is>
          <t>Alumni gratuit</t>
        </is>
      </c>
      <c r="J422" s="10" t="n"/>
      <c r="K422" s="10" t="n"/>
      <c r="L422" s="10" t="n"/>
      <c r="M422" s="10" t="n"/>
      <c r="N422" s="10" t="n"/>
      <c r="O422" s="10" t="n"/>
      <c r="P422" s="10" t="n"/>
      <c r="Q422" s="10" t="inlineStr">
        <is>
          <t>⬜ À enrichir</t>
        </is>
      </c>
      <c r="R422" s="10" t="n"/>
    </row>
    <row r="423" hidden="1" ht="15.75" customHeight="1" s="24">
      <c r="A423" s="6" t="n">
        <v>243</v>
      </c>
      <c r="B423" s="6" t="inlineStr">
        <is>
          <t>Grégory</t>
        </is>
      </c>
      <c r="C423" s="6" t="inlineStr">
        <is>
          <t>JAILLET</t>
        </is>
      </c>
      <c r="D423" s="6" t="n">
        <v>2025</v>
      </c>
      <c r="E423" s="6" t="inlineStr">
        <is>
          <t>Data Analyst</t>
        </is>
      </c>
      <c r="F423" s="6" t="inlineStr">
        <is>
          <t>Conventioné</t>
        </is>
      </c>
      <c r="G423" s="6" t="inlineStr">
        <is>
          <t>2025-06-30</t>
        </is>
      </c>
      <c r="H423" s="6" t="inlineStr">
        <is>
          <t>2025-09-26</t>
        </is>
      </c>
      <c r="I423" s="6" t="n"/>
      <c r="J423" s="10" t="n"/>
      <c r="K423" s="10" t="n"/>
      <c r="L423" s="10" t="n"/>
      <c r="M423" s="10" t="n"/>
      <c r="N423" s="10" t="n"/>
      <c r="O423" s="10" t="n"/>
      <c r="P423" s="10" t="n"/>
      <c r="Q423" s="10" t="inlineStr">
        <is>
          <t>⬜ À enrichir</t>
        </is>
      </c>
      <c r="R423" s="10" t="n"/>
    </row>
    <row r="424" hidden="1" ht="15.75" customHeight="1" s="24">
      <c r="A424" s="6" t="n">
        <v>245</v>
      </c>
      <c r="B424" s="6" t="inlineStr">
        <is>
          <t>Maroua</t>
        </is>
      </c>
      <c r="C424" s="6" t="inlineStr">
        <is>
          <t>JEMAI</t>
        </is>
      </c>
      <c r="D424" s="6" t="n">
        <v>2025</v>
      </c>
      <c r="E424" s="6" t="inlineStr">
        <is>
          <t>Juridique – Projet Cosmétique Durable</t>
        </is>
      </c>
      <c r="F424" s="6" t="inlineStr">
        <is>
          <t>Bénévole</t>
        </is>
      </c>
      <c r="G424" s="6" t="inlineStr">
        <is>
          <t>2025-08-12</t>
        </is>
      </c>
      <c r="H424" s="6" t="inlineStr">
        <is>
          <t>2025-10-17</t>
        </is>
      </c>
      <c r="I424" s="6" t="n"/>
      <c r="J424" s="10" t="n"/>
      <c r="K424" s="10" t="n"/>
      <c r="L424" s="10" t="n"/>
      <c r="M424" s="10" t="n"/>
      <c r="N424" s="10" t="n"/>
      <c r="O424" s="10" t="n"/>
      <c r="P424" s="10" t="n"/>
      <c r="Q424" s="10" t="inlineStr">
        <is>
          <t>⬜ À enrichir</t>
        </is>
      </c>
      <c r="R424" s="10" t="n"/>
    </row>
    <row r="425" hidden="1" ht="15.75" customHeight="1" s="24">
      <c r="A425" s="6" t="n">
        <v>247</v>
      </c>
      <c r="B425" s="6" t="inlineStr">
        <is>
          <t>Lucas</t>
        </is>
      </c>
      <c r="C425" s="6" t="inlineStr">
        <is>
          <t>JUSTE</t>
        </is>
      </c>
      <c r="D425" s="6" t="n">
        <v>2025</v>
      </c>
      <c r="E425" s="6" t="inlineStr">
        <is>
          <t>Statisticien(ne) / Analyste en statistique appliquées</t>
        </is>
      </c>
      <c r="F425" s="6" t="inlineStr">
        <is>
          <t>Bénévole</t>
        </is>
      </c>
      <c r="G425" s="6" t="inlineStr">
        <is>
          <t>2024-11-25</t>
        </is>
      </c>
      <c r="H425" s="6" t="inlineStr">
        <is>
          <t>2025-06-13</t>
        </is>
      </c>
      <c r="I425" s="16" t="inlineStr">
        <is>
          <t>N'a pas rempli le questionnaire</t>
        </is>
      </c>
      <c r="J425" s="10" t="n"/>
      <c r="K425" s="10" t="n"/>
      <c r="L425" s="10" t="n"/>
      <c r="M425" s="10" t="n"/>
      <c r="N425" s="10" t="n"/>
      <c r="O425" s="10" t="n"/>
      <c r="P425" s="10" t="n"/>
      <c r="Q425" s="10" t="inlineStr">
        <is>
          <t>⬜ À enrichir</t>
        </is>
      </c>
      <c r="R425" s="10" t="n"/>
    </row>
    <row r="426" hidden="1" ht="15.75" customHeight="1" s="24">
      <c r="A426" s="6" t="n">
        <v>253</v>
      </c>
      <c r="B426" s="6" t="inlineStr">
        <is>
          <t>Ayumi</t>
        </is>
      </c>
      <c r="C426" s="6" t="inlineStr">
        <is>
          <t>KATSUYA</t>
        </is>
      </c>
      <c r="D426" s="6" t="n">
        <v>2025</v>
      </c>
      <c r="E426" s="6" t="inlineStr">
        <is>
          <t xml:space="preserve">Statistiques intelligence économique  -Trends </t>
        </is>
      </c>
      <c r="F426" s="6" t="inlineStr">
        <is>
          <t>Bénévole</t>
        </is>
      </c>
      <c r="G426" s="6" t="inlineStr">
        <is>
          <t>2025-02-17</t>
        </is>
      </c>
      <c r="H426" s="6" t="inlineStr">
        <is>
          <t>2025-08-22</t>
        </is>
      </c>
      <c r="I426" s="6" t="inlineStr">
        <is>
          <t>Non</t>
        </is>
      </c>
      <c r="J426" s="10" t="n"/>
      <c r="K426" s="10" t="n"/>
      <c r="L426" s="10" t="n"/>
      <c r="M426" s="10" t="n"/>
      <c r="N426" s="10" t="n"/>
      <c r="O426" s="10" t="n"/>
      <c r="P426" s="10" t="n"/>
      <c r="Q426" s="10" t="inlineStr">
        <is>
          <t>⬜ À enrichir</t>
        </is>
      </c>
      <c r="R426" s="10" t="n"/>
    </row>
    <row r="427" hidden="1" ht="15.75" customHeight="1" s="24">
      <c r="A427" s="6" t="n">
        <v>254</v>
      </c>
      <c r="B427" s="6" t="inlineStr">
        <is>
          <t>Micipsa</t>
        </is>
      </c>
      <c r="C427" s="6" t="inlineStr">
        <is>
          <t>KEZZOUL</t>
        </is>
      </c>
      <c r="D427" s="6" t="n">
        <v>2025</v>
      </c>
      <c r="E427" s="6" t="inlineStr">
        <is>
          <t>Administrateur système réseaux</t>
        </is>
      </c>
      <c r="F427" s="6" t="inlineStr">
        <is>
          <t>Conventioné</t>
        </is>
      </c>
      <c r="G427" s="6" t="inlineStr">
        <is>
          <t>2025-07-07</t>
        </is>
      </c>
      <c r="H427" s="6" t="inlineStr">
        <is>
          <t>2025-10-10</t>
        </is>
      </c>
      <c r="I427" s="6" t="n"/>
      <c r="J427" s="10" t="n"/>
      <c r="K427" s="10" t="n"/>
      <c r="L427" s="10" t="n"/>
      <c r="M427" s="10" t="n"/>
      <c r="N427" s="10" t="n"/>
      <c r="O427" s="10" t="n"/>
      <c r="P427" s="10" t="n"/>
      <c r="Q427" s="10" t="inlineStr">
        <is>
          <t>⬜ À enrichir</t>
        </is>
      </c>
      <c r="R427" s="10" t="n"/>
    </row>
    <row r="428" hidden="1" ht="15.75" customHeight="1" s="24">
      <c r="A428" s="6" t="n">
        <v>261</v>
      </c>
      <c r="B428" s="6" t="inlineStr">
        <is>
          <t>Max Elie</t>
        </is>
      </c>
      <c r="C428" s="6" t="inlineStr">
        <is>
          <t>KOUASSI</t>
        </is>
      </c>
      <c r="D428" s="6" t="n">
        <v>2025</v>
      </c>
      <c r="E428" s="6" t="inlineStr">
        <is>
          <t>Chargé de projet Programme Européen</t>
        </is>
      </c>
      <c r="F428" s="6" t="inlineStr">
        <is>
          <t>Bénévole</t>
        </is>
      </c>
      <c r="G428" s="6" t="inlineStr">
        <is>
          <t>2025-05-06</t>
        </is>
      </c>
      <c r="H428" s="6" t="inlineStr">
        <is>
          <t>2025-11-07</t>
        </is>
      </c>
      <c r="I428" s="6" t="n"/>
      <c r="J428" s="10" t="n"/>
      <c r="K428" s="10" t="n"/>
      <c r="L428" s="10" t="n"/>
      <c r="M428" s="10" t="n"/>
      <c r="N428" s="10" t="n"/>
      <c r="O428" s="10" t="n"/>
      <c r="P428" s="10" t="n"/>
      <c r="Q428" s="10" t="inlineStr">
        <is>
          <t>⬜ À enrichir</t>
        </is>
      </c>
      <c r="R428" s="10" t="n"/>
    </row>
    <row r="429" hidden="1" ht="15.75" customHeight="1" s="24">
      <c r="A429" s="6" t="n">
        <v>265</v>
      </c>
      <c r="B429" s="6" t="inlineStr">
        <is>
          <t>Damtoti</t>
        </is>
      </c>
      <c r="C429" s="6" t="inlineStr">
        <is>
          <t>Kangbie</t>
        </is>
      </c>
      <c r="D429" s="6" t="n">
        <v>2025</v>
      </c>
      <c r="E429" s="6" t="inlineStr">
        <is>
          <t>Statistiques  ACV</t>
        </is>
      </c>
      <c r="F429" s="6" t="inlineStr">
        <is>
          <t>Conventioné</t>
        </is>
      </c>
      <c r="G429" s="6" t="inlineStr">
        <is>
          <t>2024-06-03</t>
        </is>
      </c>
      <c r="H429" s="6" t="inlineStr">
        <is>
          <t>2024-09-06</t>
        </is>
      </c>
      <c r="I429" s="6" t="inlineStr">
        <is>
          <t>Alumni gratuit</t>
        </is>
      </c>
      <c r="J429" s="10" t="n"/>
      <c r="K429" s="10" t="n"/>
      <c r="L429" s="10" t="n"/>
      <c r="M429" s="10" t="n"/>
      <c r="N429" s="10" t="n"/>
      <c r="O429" s="10" t="n"/>
      <c r="P429" s="10" t="n"/>
      <c r="Q429" s="10" t="inlineStr">
        <is>
          <t>⬜ À enrichir</t>
        </is>
      </c>
      <c r="R429" s="10" t="n"/>
    </row>
    <row r="430" hidden="1" ht="15.75" customHeight="1" s="24">
      <c r="A430" s="6" t="n">
        <v>278</v>
      </c>
      <c r="B430" s="6" t="inlineStr">
        <is>
          <t>Victoire</t>
        </is>
      </c>
      <c r="C430" s="6" t="inlineStr">
        <is>
          <t>LAMIDA</t>
        </is>
      </c>
      <c r="D430" s="6" t="n">
        <v>2025</v>
      </c>
      <c r="E430" s="6" t="inlineStr">
        <is>
          <t>coordinatrice chargée de projet pré-analyse GCBO</t>
        </is>
      </c>
      <c r="F430" s="6" t="inlineStr">
        <is>
          <t>Bénévole</t>
        </is>
      </c>
      <c r="G430" s="6" t="inlineStr">
        <is>
          <t>2025-01-13</t>
        </is>
      </c>
      <c r="H430" s="6" t="inlineStr">
        <is>
          <t>2025-07-11</t>
        </is>
      </c>
      <c r="I430" s="6" t="n"/>
      <c r="J430" s="10" t="n"/>
      <c r="K430" s="10" t="n"/>
      <c r="L430" s="10" t="n"/>
      <c r="M430" s="10" t="n"/>
      <c r="N430" s="10" t="n"/>
      <c r="O430" s="10" t="n"/>
      <c r="P430" s="10" t="n"/>
      <c r="Q430" s="10" t="inlineStr">
        <is>
          <t>⬜ À enrichir</t>
        </is>
      </c>
      <c r="R430" s="10" t="n"/>
    </row>
    <row r="431" hidden="1" ht="15.75" customHeight="1" s="24">
      <c r="A431" s="6" t="n">
        <v>286</v>
      </c>
      <c r="B431" s="6" t="inlineStr">
        <is>
          <t>Clara</t>
        </is>
      </c>
      <c r="C431" s="6" t="inlineStr">
        <is>
          <t>LEGARE</t>
        </is>
      </c>
      <c r="D431" s="6" t="n">
        <v>2025</v>
      </c>
      <c r="E431" s="6" t="inlineStr">
        <is>
          <t xml:space="preserve"> Happiness Management  projet transversaux Formation </t>
        </is>
      </c>
      <c r="F431" s="6" t="inlineStr">
        <is>
          <t>Bénévole</t>
        </is>
      </c>
      <c r="G431" s="6" t="inlineStr">
        <is>
          <t>2025-02-11</t>
        </is>
      </c>
      <c r="H431" s="6" t="inlineStr">
        <is>
          <t>2025-08-15</t>
        </is>
      </c>
      <c r="I431" s="6" t="inlineStr">
        <is>
          <t>Non</t>
        </is>
      </c>
      <c r="J431" s="10" t="n"/>
      <c r="K431" s="10" t="n"/>
      <c r="L431" s="10" t="n"/>
      <c r="M431" s="10" t="n"/>
      <c r="N431" s="10" t="n"/>
      <c r="O431" s="10" t="n"/>
      <c r="P431" s="10" t="n"/>
      <c r="Q431" s="10" t="inlineStr">
        <is>
          <t>⬜ À enrichir</t>
        </is>
      </c>
      <c r="R431" s="10" t="n"/>
    </row>
    <row r="432" hidden="1" ht="15.75" customHeight="1" s="24">
      <c r="A432" s="6" t="n">
        <v>287</v>
      </c>
      <c r="B432" s="6" t="inlineStr">
        <is>
          <t>Michael</t>
        </is>
      </c>
      <c r="C432" s="6" t="inlineStr">
        <is>
          <t>LEIGH</t>
        </is>
      </c>
      <c r="D432" s="6" t="n">
        <v>2025</v>
      </c>
      <c r="E432" s="6" t="inlineStr">
        <is>
          <t>Web design</t>
        </is>
      </c>
      <c r="F432" s="6" t="inlineStr">
        <is>
          <t>Bénévole</t>
        </is>
      </c>
      <c r="G432" s="6" t="inlineStr">
        <is>
          <t>2025-06-10</t>
        </is>
      </c>
      <c r="H432" s="6" t="inlineStr">
        <is>
          <t>2025-09-05</t>
        </is>
      </c>
      <c r="I432" s="6" t="n"/>
      <c r="J432" s="10" t="n"/>
      <c r="K432" s="10" t="n"/>
      <c r="L432" s="10" t="n"/>
      <c r="M432" s="10" t="n"/>
      <c r="N432" s="10" t="n"/>
      <c r="O432" s="10" t="n"/>
      <c r="P432" s="10" t="n"/>
      <c r="Q432" s="10" t="inlineStr">
        <is>
          <t>⬜ À enrichir</t>
        </is>
      </c>
      <c r="R432" s="10" t="n"/>
    </row>
    <row r="433" hidden="1" ht="15.75" customHeight="1" s="24">
      <c r="A433" s="6" t="n">
        <v>294</v>
      </c>
      <c r="B433" s="6" t="inlineStr">
        <is>
          <t>Tamara</t>
        </is>
      </c>
      <c r="C433" s="6" t="inlineStr">
        <is>
          <t>LOMY</t>
        </is>
      </c>
      <c r="D433" s="6" t="n">
        <v>2025</v>
      </c>
      <c r="E433" s="6" t="inlineStr">
        <is>
          <t>rh</t>
        </is>
      </c>
      <c r="F433" s="6" t="inlineStr">
        <is>
          <t>Bénévole</t>
        </is>
      </c>
      <c r="G433" s="6" t="inlineStr">
        <is>
          <t>2024-09-11</t>
        </is>
      </c>
      <c r="H433" s="6" t="inlineStr">
        <is>
          <t>2025-04-04</t>
        </is>
      </c>
      <c r="I433" s="6" t="inlineStr">
        <is>
          <t>Alumni gratuit</t>
        </is>
      </c>
      <c r="J433" s="10" t="n"/>
      <c r="K433" s="10" t="n"/>
      <c r="L433" s="10" t="n"/>
      <c r="M433" s="10" t="n"/>
      <c r="N433" s="10" t="n"/>
      <c r="O433" s="10" t="n"/>
      <c r="P433" s="10" t="n"/>
      <c r="Q433" s="10" t="inlineStr">
        <is>
          <t>⬜ À enrichir</t>
        </is>
      </c>
      <c r="R433" s="10" t="n"/>
    </row>
    <row r="434" hidden="1" ht="15.75" customHeight="1" s="24">
      <c r="A434" s="6" t="n">
        <v>300</v>
      </c>
      <c r="B434" s="6" t="inlineStr">
        <is>
          <t>Kenza</t>
        </is>
      </c>
      <c r="C434" s="6" t="inlineStr">
        <is>
          <t>Lech’Hab</t>
        </is>
      </c>
      <c r="D434" s="6" t="n">
        <v>2025</v>
      </c>
      <c r="E434" s="6" t="inlineStr">
        <is>
          <t>Rh</t>
        </is>
      </c>
      <c r="F434" s="6" t="inlineStr">
        <is>
          <t>Bénévole</t>
        </is>
      </c>
      <c r="G434" s="6" t="inlineStr">
        <is>
          <t>2025-12-03</t>
        </is>
      </c>
      <c r="H434" s="6" t="inlineStr">
        <is>
          <t>2025-12-09</t>
        </is>
      </c>
      <c r="I434" s="6" t="inlineStr">
        <is>
          <t>Non</t>
        </is>
      </c>
      <c r="J434" s="10" t="n"/>
      <c r="K434" s="10" t="n"/>
      <c r="L434" s="10" t="n"/>
      <c r="M434" s="10" t="n"/>
      <c r="N434" s="10" t="n"/>
      <c r="O434" s="10" t="n"/>
      <c r="P434" s="10" t="n"/>
      <c r="Q434" s="10" t="inlineStr">
        <is>
          <t>⬜ À enrichir</t>
        </is>
      </c>
      <c r="R434" s="10" t="n"/>
    </row>
    <row r="435" hidden="1" ht="15.75" customHeight="1" s="24">
      <c r="A435" s="6" t="n">
        <v>308</v>
      </c>
      <c r="B435" s="6" t="inlineStr">
        <is>
          <t>Séverine</t>
        </is>
      </c>
      <c r="C435" s="6" t="inlineStr">
        <is>
          <t>MAGUIS</t>
        </is>
      </c>
      <c r="D435" s="6" t="n">
        <v>2025</v>
      </c>
      <c r="E435" s="6" t="inlineStr">
        <is>
          <t>cheffe de projet recherches scientifiques sur le projet “Green- coaching")</t>
        </is>
      </c>
      <c r="F435" s="6" t="inlineStr">
        <is>
          <t>Bénévole</t>
        </is>
      </c>
      <c r="G435" s="6" t="inlineStr">
        <is>
          <t>2025-09-01</t>
        </is>
      </c>
      <c r="H435" s="6" t="inlineStr">
        <is>
          <t>2025-11-14</t>
        </is>
      </c>
      <c r="I435" s="6" t="n"/>
      <c r="J435" s="10" t="n"/>
      <c r="K435" s="10" t="n"/>
      <c r="L435" s="10" t="n"/>
      <c r="M435" s="10" t="n"/>
      <c r="N435" s="10" t="n"/>
      <c r="O435" s="10" t="n"/>
      <c r="P435" s="10" t="n"/>
      <c r="Q435" s="10" t="inlineStr">
        <is>
          <t>⬜ À enrichir</t>
        </is>
      </c>
      <c r="R435" s="10" t="n"/>
    </row>
    <row r="436" hidden="1" ht="15.75" customHeight="1" s="24">
      <c r="A436" s="6" t="n">
        <v>310</v>
      </c>
      <c r="B436" s="6" t="inlineStr">
        <is>
          <t>Samira</t>
        </is>
      </c>
      <c r="C436" s="6" t="inlineStr">
        <is>
          <t>MAHJOUB</t>
        </is>
      </c>
      <c r="D436" s="6" t="n">
        <v>2025</v>
      </c>
      <c r="E436" s="6" t="inlineStr">
        <is>
          <t>Data Scientist</t>
        </is>
      </c>
      <c r="F436" s="6" t="inlineStr">
        <is>
          <t>Bénévole</t>
        </is>
      </c>
      <c r="G436" s="6" t="inlineStr">
        <is>
          <t>2025-01-27</t>
        </is>
      </c>
      <c r="H436" s="6" t="inlineStr">
        <is>
          <t>2025-04-25</t>
        </is>
      </c>
      <c r="I436" s="6" t="n"/>
      <c r="J436" s="10" t="n"/>
      <c r="K436" s="10" t="n"/>
      <c r="L436" s="10" t="n"/>
      <c r="M436" s="10" t="n"/>
      <c r="N436" s="10" t="n"/>
      <c r="O436" s="10" t="n"/>
      <c r="P436" s="10" t="n"/>
      <c r="Q436" s="10" t="inlineStr">
        <is>
          <t>⬜ À enrichir</t>
        </is>
      </c>
      <c r="R436" s="10" t="n"/>
    </row>
    <row r="437" hidden="1" ht="15.75" customHeight="1" s="24">
      <c r="A437" s="6" t="n">
        <v>312</v>
      </c>
      <c r="B437" s="6" t="inlineStr">
        <is>
          <t>Andrew</t>
        </is>
      </c>
      <c r="C437" s="6" t="inlineStr">
        <is>
          <t>MALA</t>
        </is>
      </c>
      <c r="D437" s="6" t="n">
        <v>2025</v>
      </c>
      <c r="E437" s="6" t="inlineStr">
        <is>
          <t>rh</t>
        </is>
      </c>
      <c r="F437" s="6" t="inlineStr">
        <is>
          <t>Bénévole</t>
        </is>
      </c>
      <c r="G437" s="6" t="inlineStr">
        <is>
          <t>2025-06-11</t>
        </is>
      </c>
      <c r="H437" s="6" t="inlineStr">
        <is>
          <t>2025-12-12</t>
        </is>
      </c>
      <c r="I437" s="6" t="inlineStr">
        <is>
          <t>Alumni gratuit</t>
        </is>
      </c>
      <c r="J437" s="10" t="n"/>
      <c r="K437" s="10" t="n"/>
      <c r="L437" s="10" t="n"/>
      <c r="M437" s="10" t="n"/>
      <c r="N437" s="10" t="n"/>
      <c r="O437" s="10" t="n"/>
      <c r="P437" s="10" t="n"/>
      <c r="Q437" s="10" t="inlineStr">
        <is>
          <t>⬜ À enrichir</t>
        </is>
      </c>
      <c r="R437" s="10" t="n"/>
    </row>
    <row r="438" hidden="1" ht="15.75" customHeight="1" s="24">
      <c r="A438" s="6" t="n">
        <v>314</v>
      </c>
      <c r="B438" s="6" t="inlineStr">
        <is>
          <t>Samia</t>
        </is>
      </c>
      <c r="C438" s="6" t="inlineStr">
        <is>
          <t>MANGACHE</t>
        </is>
      </c>
      <c r="D438" s="6" t="n">
        <v>2025</v>
      </c>
      <c r="E438" s="6" t="inlineStr">
        <is>
          <t xml:space="preserve">Traduction </t>
        </is>
      </c>
      <c r="F438" s="6" t="inlineStr">
        <is>
          <t>Conventioné</t>
        </is>
      </c>
      <c r="G438" s="6" t="inlineStr">
        <is>
          <t>2025-04-05</t>
        </is>
      </c>
      <c r="H438" s="6" t="inlineStr">
        <is>
          <t>2025-10-03</t>
        </is>
      </c>
      <c r="I438" s="6" t="n"/>
      <c r="J438" s="10" t="n"/>
      <c r="K438" s="10" t="n"/>
      <c r="L438" s="10" t="n"/>
      <c r="M438" s="10" t="n"/>
      <c r="N438" s="10" t="n"/>
      <c r="O438" s="10" t="n"/>
      <c r="P438" s="10" t="n"/>
      <c r="Q438" s="10" t="inlineStr">
        <is>
          <t>⬜ À enrichir</t>
        </is>
      </c>
      <c r="R438" s="10" t="n"/>
    </row>
    <row r="439" hidden="1" ht="15.75" customHeight="1" s="24">
      <c r="A439" s="6" t="n">
        <v>321</v>
      </c>
      <c r="B439" s="6" t="inlineStr">
        <is>
          <t>Bachir</t>
        </is>
      </c>
      <c r="C439" s="6" t="inlineStr">
        <is>
          <t>MBACKE</t>
        </is>
      </c>
      <c r="D439" s="6" t="n">
        <v>2025</v>
      </c>
      <c r="E439" s="6" t="inlineStr">
        <is>
          <t>IT</t>
        </is>
      </c>
      <c r="F439" s="6" t="inlineStr">
        <is>
          <t>Bénévole</t>
        </is>
      </c>
      <c r="G439" s="6" t="inlineStr">
        <is>
          <t>2026-02-16</t>
        </is>
      </c>
      <c r="H439" s="6" t="inlineStr">
        <is>
          <t>2026-08-14</t>
        </is>
      </c>
      <c r="I439" s="6" t="inlineStr">
        <is>
          <t>Alumni gratuit</t>
        </is>
      </c>
      <c r="J439" s="10" t="n"/>
      <c r="K439" s="10" t="n"/>
      <c r="L439" s="10" t="n"/>
      <c r="M439" s="10" t="n"/>
      <c r="N439" s="10" t="n"/>
      <c r="O439" s="10" t="n"/>
      <c r="P439" s="10" t="n"/>
      <c r="Q439" s="10" t="inlineStr">
        <is>
          <t>⬜ À enrichir</t>
        </is>
      </c>
      <c r="R439" s="10" t="n"/>
    </row>
    <row r="440" hidden="1" ht="15.75" customHeight="1" s="24">
      <c r="A440" s="6" t="n">
        <v>322</v>
      </c>
      <c r="B440" s="6" t="inlineStr">
        <is>
          <t>Adja</t>
        </is>
      </c>
      <c r="C440" s="6" t="inlineStr">
        <is>
          <t>MBENGUE</t>
        </is>
      </c>
      <c r="D440" s="6" t="n">
        <v>2025</v>
      </c>
      <c r="E440" s="6" t="inlineStr">
        <is>
          <t xml:space="preserve">Juriste </t>
        </is>
      </c>
      <c r="F440" s="6" t="inlineStr">
        <is>
          <t>Conventioné</t>
        </is>
      </c>
      <c r="G440" s="6" t="inlineStr">
        <is>
          <t>2025-07-01</t>
        </is>
      </c>
      <c r="H440" s="6" t="inlineStr">
        <is>
          <t>2025-12-19</t>
        </is>
      </c>
      <c r="I440" s="6" t="n"/>
      <c r="J440" s="10" t="n"/>
      <c r="K440" s="10" t="n"/>
      <c r="L440" s="10" t="n"/>
      <c r="M440" s="10" t="n"/>
      <c r="N440" s="10" t="n"/>
      <c r="O440" s="10" t="n"/>
      <c r="P440" s="10" t="n"/>
      <c r="Q440" s="10" t="inlineStr">
        <is>
          <t>⬜ À enrichir</t>
        </is>
      </c>
      <c r="R440" s="10" t="n"/>
    </row>
    <row r="441" hidden="1" ht="15.75" customHeight="1" s="24">
      <c r="A441" s="6" t="n">
        <v>330</v>
      </c>
      <c r="B441" s="6" t="inlineStr">
        <is>
          <t>Giancarlo</t>
        </is>
      </c>
      <c r="C441" s="6" t="inlineStr">
        <is>
          <t>MENDOZA LARA</t>
        </is>
      </c>
      <c r="D441" s="6" t="n">
        <v>2025</v>
      </c>
      <c r="E441" s="6" t="inlineStr">
        <is>
          <t>rh</t>
        </is>
      </c>
      <c r="F441" s="6" t="inlineStr">
        <is>
          <t>Bénévole</t>
        </is>
      </c>
      <c r="G441" s="6" t="inlineStr">
        <is>
          <t>2025-10-08</t>
        </is>
      </c>
      <c r="H441" s="6" t="inlineStr">
        <is>
          <t>2025-05-01</t>
        </is>
      </c>
      <c r="I441" s="6" t="inlineStr">
        <is>
          <t>Non</t>
        </is>
      </c>
      <c r="J441" s="10" t="n"/>
      <c r="K441" s="10" t="n"/>
      <c r="L441" s="10" t="n"/>
      <c r="M441" s="10" t="n"/>
      <c r="N441" s="10" t="n"/>
      <c r="O441" s="10" t="n"/>
      <c r="P441" s="10" t="n"/>
      <c r="Q441" s="10" t="inlineStr">
        <is>
          <t>⬜ À enrichir</t>
        </is>
      </c>
      <c r="R441" s="10" t="n"/>
    </row>
    <row r="442" hidden="1" ht="15.75" customHeight="1" s="24">
      <c r="A442" s="6" t="n">
        <v>340</v>
      </c>
      <c r="B442" s="6" t="inlineStr">
        <is>
          <t>Joanna</t>
        </is>
      </c>
      <c r="C442" s="6" t="inlineStr">
        <is>
          <t>MILANESE</t>
        </is>
      </c>
      <c r="D442" s="6" t="n">
        <v>2025</v>
      </c>
      <c r="E442" s="6" t="inlineStr">
        <is>
          <t>RH</t>
        </is>
      </c>
      <c r="F442" s="6" t="inlineStr">
        <is>
          <t>Bénévole</t>
        </is>
      </c>
      <c r="G442" s="6" t="inlineStr">
        <is>
          <t>2024-09-04</t>
        </is>
      </c>
      <c r="H442" s="6" t="inlineStr">
        <is>
          <t>2025-09-03</t>
        </is>
      </c>
      <c r="I442" s="6" t="inlineStr">
        <is>
          <t>Alumni gratuit</t>
        </is>
      </c>
      <c r="J442" s="10" t="n"/>
      <c r="K442" s="10" t="n"/>
      <c r="L442" s="10" t="n"/>
      <c r="M442" s="10" t="n"/>
      <c r="N442" s="10" t="n"/>
      <c r="O442" s="10" t="n"/>
      <c r="P442" s="10" t="n"/>
      <c r="Q442" s="10" t="inlineStr">
        <is>
          <t>⬜ À enrichir</t>
        </is>
      </c>
      <c r="R442" s="10" t="n"/>
    </row>
    <row r="443" hidden="1" ht="15.75" customHeight="1" s="24">
      <c r="A443" s="6" t="n">
        <v>345</v>
      </c>
      <c r="B443" s="6" t="inlineStr">
        <is>
          <t>Priscillia</t>
        </is>
      </c>
      <c r="C443" s="6" t="inlineStr">
        <is>
          <t>MONTEIL</t>
        </is>
      </c>
      <c r="D443" s="6" t="n">
        <v>2025</v>
      </c>
      <c r="E443" s="6" t="inlineStr">
        <is>
          <t>Chargé.e du projet community management GES</t>
        </is>
      </c>
      <c r="F443" s="6" t="inlineStr">
        <is>
          <t>Bénévole</t>
        </is>
      </c>
      <c r="G443" s="6" t="inlineStr">
        <is>
          <t>2025-10-27</t>
        </is>
      </c>
      <c r="H443" s="6" t="inlineStr">
        <is>
          <t>2026-05-22</t>
        </is>
      </c>
      <c r="I443" s="6" t="n"/>
      <c r="J443" s="10" t="n"/>
      <c r="K443" s="10" t="n"/>
      <c r="L443" s="10" t="n"/>
      <c r="M443" s="10" t="n"/>
      <c r="N443" s="10" t="n"/>
      <c r="O443" s="10" t="n"/>
      <c r="P443" s="10" t="n"/>
      <c r="Q443" s="10" t="inlineStr">
        <is>
          <t>⬜ À enrichir</t>
        </is>
      </c>
      <c r="R443" s="10" t="n"/>
    </row>
    <row r="444" hidden="1" ht="15.75" customHeight="1" s="24">
      <c r="A444" s="6" t="n">
        <v>346</v>
      </c>
      <c r="B444" s="6" t="inlineStr">
        <is>
          <t>Alejandro</t>
        </is>
      </c>
      <c r="C444" s="6" t="inlineStr">
        <is>
          <t>MONTERRUBIO</t>
        </is>
      </c>
      <c r="D444" s="6" t="n">
        <v>2025</v>
      </c>
      <c r="E444" s="6" t="inlineStr">
        <is>
          <t>Référent Analyse de Cycle de vie - OpenLCA</t>
        </is>
      </c>
      <c r="F444" s="6" t="inlineStr">
        <is>
          <t>Bénévole</t>
        </is>
      </c>
      <c r="G444" s="6" t="inlineStr">
        <is>
          <t>2025-07-01</t>
        </is>
      </c>
      <c r="H444" s="6" t="inlineStr">
        <is>
          <t>2025-09-18</t>
        </is>
      </c>
      <c r="I444" s="6" t="n"/>
      <c r="J444" s="10" t="n"/>
      <c r="K444" s="10" t="n"/>
      <c r="L444" s="10" t="n"/>
      <c r="M444" s="10" t="n"/>
      <c r="N444" s="10" t="n"/>
      <c r="O444" s="10" t="n"/>
      <c r="P444" s="10" t="n"/>
      <c r="Q444" s="10" t="inlineStr">
        <is>
          <t>⬜ À enrichir</t>
        </is>
      </c>
      <c r="R444" s="10" t="n"/>
    </row>
    <row r="445" hidden="1" ht="15.75" customHeight="1" s="24">
      <c r="A445" s="6" t="n">
        <v>350</v>
      </c>
      <c r="B445" s="6" t="inlineStr">
        <is>
          <t>Neima</t>
        </is>
      </c>
      <c r="C445" s="6" t="inlineStr">
        <is>
          <t>MOUSTAMIA</t>
        </is>
      </c>
      <c r="D445" s="6" t="n">
        <v>2025</v>
      </c>
      <c r="E445" s="6" t="inlineStr">
        <is>
          <t>Expert comptable</t>
        </is>
      </c>
      <c r="F445" s="6" t="inlineStr">
        <is>
          <t>Bénévole</t>
        </is>
      </c>
      <c r="G445" s="6" t="inlineStr">
        <is>
          <t>2025-06-23</t>
        </is>
      </c>
      <c r="H445" s="6" t="inlineStr">
        <is>
          <t>2025-10-24</t>
        </is>
      </c>
      <c r="I445" s="6" t="n"/>
      <c r="J445" s="10" t="n"/>
      <c r="K445" s="10" t="n"/>
      <c r="L445" s="10" t="n"/>
      <c r="M445" s="10" t="n"/>
      <c r="N445" s="10" t="n"/>
      <c r="O445" s="10" t="n"/>
      <c r="P445" s="10" t="n"/>
      <c r="Q445" s="10" t="inlineStr">
        <is>
          <t>⬜ À enrichir</t>
        </is>
      </c>
      <c r="R445" s="10" t="n"/>
    </row>
    <row r="446" hidden="1" ht="15.75" customHeight="1" s="24">
      <c r="A446" s="6" t="n">
        <v>351</v>
      </c>
      <c r="B446" s="6" t="inlineStr">
        <is>
          <t>Abdoulaye Annour</t>
        </is>
      </c>
      <c r="C446" s="6" t="inlineStr">
        <is>
          <t>Mahamat</t>
        </is>
      </c>
      <c r="D446" s="6" t="n">
        <v>2025</v>
      </c>
      <c r="E446" s="6" t="inlineStr">
        <is>
          <t xml:space="preserve">Projet CCSDP - Green coaching projet  - GCC </t>
        </is>
      </c>
      <c r="F446" s="6" t="inlineStr">
        <is>
          <t>Conventioné</t>
        </is>
      </c>
      <c r="G446" s="6" t="inlineStr">
        <is>
          <t>2025-03-24</t>
        </is>
      </c>
      <c r="H446" s="6" t="inlineStr">
        <is>
          <t>2025-08-29</t>
        </is>
      </c>
      <c r="I446" s="6" t="inlineStr">
        <is>
          <t>Alumni gratuit</t>
        </is>
      </c>
      <c r="J446" s="10" t="n"/>
      <c r="K446" s="10" t="n"/>
      <c r="L446" s="10" t="n"/>
      <c r="M446" s="10" t="n"/>
      <c r="N446" s="10" t="n"/>
      <c r="O446" s="10" t="n"/>
      <c r="P446" s="10" t="n"/>
      <c r="Q446" s="10" t="inlineStr">
        <is>
          <t>⬜ À enrichir</t>
        </is>
      </c>
      <c r="R446" s="10" t="n"/>
    </row>
    <row r="447" hidden="1" ht="15.75" customHeight="1" s="24">
      <c r="A447" s="6" t="n">
        <v>352</v>
      </c>
      <c r="B447" s="6" t="inlineStr">
        <is>
          <t>Paula</t>
        </is>
      </c>
      <c r="C447" s="6" t="inlineStr">
        <is>
          <t>Malmoria</t>
        </is>
      </c>
      <c r="D447" s="6" t="n">
        <v>2025</v>
      </c>
      <c r="E447" s="6" t="inlineStr">
        <is>
          <t>rh</t>
        </is>
      </c>
      <c r="F447" s="6" t="inlineStr">
        <is>
          <t>Bénévole</t>
        </is>
      </c>
      <c r="G447" s="6" t="inlineStr">
        <is>
          <t>2024-12-02</t>
        </is>
      </c>
      <c r="H447" s="6" t="inlineStr">
        <is>
          <t>2026-01-27</t>
        </is>
      </c>
      <c r="I447" s="6" t="inlineStr">
        <is>
          <t>Alumni gratuit</t>
        </is>
      </c>
      <c r="J447" s="10" t="n"/>
      <c r="K447" s="10" t="n"/>
      <c r="L447" s="10" t="n"/>
      <c r="M447" s="10" t="n"/>
      <c r="N447" s="10" t="n"/>
      <c r="O447" s="10" t="n"/>
      <c r="P447" s="10" t="n"/>
      <c r="Q447" s="10" t="inlineStr">
        <is>
          <t>⬜ À enrichir</t>
        </is>
      </c>
      <c r="R447" s="10" t="n"/>
    </row>
    <row r="448" hidden="1" ht="15.75" customHeight="1" s="24">
      <c r="A448" s="6" t="n">
        <v>354</v>
      </c>
      <c r="B448" s="6" t="inlineStr">
        <is>
          <t>Pierre andré</t>
        </is>
      </c>
      <c r="C448" s="6" t="inlineStr">
        <is>
          <t>Marras</t>
        </is>
      </c>
      <c r="D448" s="6" t="n">
        <v>2025</v>
      </c>
      <c r="E448" s="6" t="inlineStr">
        <is>
          <t>rh</t>
        </is>
      </c>
      <c r="F448" s="6" t="inlineStr">
        <is>
          <t>Bénévole</t>
        </is>
      </c>
      <c r="G448" s="6" t="inlineStr">
        <is>
          <t>2025-04-09</t>
        </is>
      </c>
      <c r="H448" s="6" t="inlineStr">
        <is>
          <t>2025-06-26</t>
        </is>
      </c>
      <c r="I448" s="6" t="inlineStr">
        <is>
          <t>Non</t>
        </is>
      </c>
      <c r="J448" s="10" t="n"/>
      <c r="K448" s="10" t="n"/>
      <c r="L448" s="10" t="n"/>
      <c r="M448" s="10" t="n"/>
      <c r="N448" s="10" t="n"/>
      <c r="O448" s="10" t="n"/>
      <c r="P448" s="10" t="n"/>
      <c r="Q448" s="10" t="inlineStr">
        <is>
          <t>⬜ À enrichir</t>
        </is>
      </c>
      <c r="R448" s="10" t="n"/>
    </row>
    <row r="449" hidden="1" ht="15.75" customHeight="1" s="24">
      <c r="A449" s="6" t="n">
        <v>355</v>
      </c>
      <c r="B449" s="6" t="inlineStr">
        <is>
          <t>Ines</t>
        </is>
      </c>
      <c r="C449" s="6" t="inlineStr">
        <is>
          <t>McKenchnie</t>
        </is>
      </c>
      <c r="D449" s="6" t="n">
        <v>2025</v>
      </c>
      <c r="E449" s="6" t="inlineStr">
        <is>
          <t xml:space="preserve">Coordinateur Application du projet agriculture durable
</t>
        </is>
      </c>
      <c r="F449" s="6" t="inlineStr">
        <is>
          <t>Bénévole</t>
        </is>
      </c>
      <c r="G449" s="6" t="inlineStr">
        <is>
          <t>2024-11-04</t>
        </is>
      </c>
      <c r="H449" s="6" t="inlineStr">
        <is>
          <t>2025-05-30</t>
        </is>
      </c>
      <c r="I449" s="6" t="n"/>
      <c r="J449" s="10" t="n"/>
      <c r="K449" s="10" t="n"/>
      <c r="L449" s="10" t="n"/>
      <c r="M449" s="10" t="n"/>
      <c r="N449" s="10" t="n"/>
      <c r="O449" s="10" t="n"/>
      <c r="P449" s="10" t="n"/>
      <c r="Q449" s="10" t="inlineStr">
        <is>
          <t>⬜ À enrichir</t>
        </is>
      </c>
      <c r="R449" s="10" t="n"/>
    </row>
    <row r="450" hidden="1" ht="15.75" customHeight="1" s="24">
      <c r="A450" s="6" t="n">
        <v>357</v>
      </c>
      <c r="B450" s="6" t="inlineStr">
        <is>
          <t>Julie</t>
        </is>
      </c>
      <c r="C450" s="6" t="inlineStr">
        <is>
          <t>Michalet</t>
        </is>
      </c>
      <c r="D450" s="6" t="n">
        <v>2025</v>
      </c>
      <c r="E450" s="6" t="inlineStr">
        <is>
          <t>Juriste</t>
        </is>
      </c>
      <c r="F450" s="6" t="inlineStr">
        <is>
          <t>Bénévole</t>
        </is>
      </c>
      <c r="G450" s="6" t="inlineStr">
        <is>
          <t>2024-11-26</t>
        </is>
      </c>
      <c r="H450" s="6" t="inlineStr">
        <is>
          <t>2025-03-21</t>
        </is>
      </c>
      <c r="I450" s="6" t="n"/>
      <c r="J450" s="10" t="n"/>
      <c r="K450" s="10" t="n"/>
      <c r="L450" s="10" t="n"/>
      <c r="M450" s="10" t="n"/>
      <c r="N450" s="10" t="n"/>
      <c r="O450" s="10" t="n"/>
      <c r="P450" s="10" t="n"/>
      <c r="Q450" s="10" t="inlineStr">
        <is>
          <t>⬜ À enrichir</t>
        </is>
      </c>
      <c r="R450" s="10" t="n"/>
    </row>
    <row r="451" hidden="1" ht="15.75" customHeight="1" s="24">
      <c r="A451" s="6" t="n">
        <v>363</v>
      </c>
      <c r="B451" s="6" t="inlineStr">
        <is>
          <t>Nasira</t>
        </is>
      </c>
      <c r="C451" s="6" t="inlineStr">
        <is>
          <t>NAEIBI</t>
        </is>
      </c>
      <c r="D451" s="6" t="n">
        <v>2025</v>
      </c>
      <c r="E451" s="6" t="inlineStr">
        <is>
          <t>IT</t>
        </is>
      </c>
      <c r="F451" s="6" t="inlineStr">
        <is>
          <t>Conventioné</t>
        </is>
      </c>
      <c r="G451" s="6" t="inlineStr">
        <is>
          <t>2025-09-15</t>
        </is>
      </c>
      <c r="H451" s="6" t="inlineStr">
        <is>
          <t>2025-12-19</t>
        </is>
      </c>
      <c r="I451" s="6" t="n"/>
      <c r="J451" s="10" t="n"/>
      <c r="K451" s="10" t="n"/>
      <c r="L451" s="10" t="n"/>
      <c r="M451" s="10" t="n"/>
      <c r="N451" s="10" t="n"/>
      <c r="O451" s="10" t="n"/>
      <c r="P451" s="10" t="n"/>
      <c r="Q451" s="10" t="inlineStr">
        <is>
          <t>⬜ À enrichir</t>
        </is>
      </c>
      <c r="R451" s="10" t="n"/>
    </row>
    <row r="452" hidden="1" ht="15.75" customHeight="1" s="24">
      <c r="A452" s="6" t="n">
        <v>369</v>
      </c>
      <c r="B452" s="6" t="inlineStr">
        <is>
          <t>larissa</t>
        </is>
      </c>
      <c r="C452" s="6" t="inlineStr">
        <is>
          <t>NGO KEKI</t>
        </is>
      </c>
      <c r="D452" s="6" t="n">
        <v>2025</v>
      </c>
      <c r="E452" s="6" t="inlineStr">
        <is>
          <t>RH</t>
        </is>
      </c>
      <c r="F452" s="6" t="inlineStr">
        <is>
          <t>Bénévole</t>
        </is>
      </c>
      <c r="G452" s="6" t="inlineStr">
        <is>
          <t>2025-11-05</t>
        </is>
      </c>
      <c r="H452" s="6" t="inlineStr">
        <is>
          <t>2025-11-10</t>
        </is>
      </c>
      <c r="I452" s="6" t="inlineStr">
        <is>
          <t>Non</t>
        </is>
      </c>
      <c r="J452" s="10" t="n"/>
      <c r="K452" s="10" t="n"/>
      <c r="L452" s="10" t="n"/>
      <c r="M452" s="10" t="n"/>
      <c r="N452" s="10" t="n"/>
      <c r="O452" s="10" t="n"/>
      <c r="P452" s="10" t="n"/>
      <c r="Q452" s="10" t="inlineStr">
        <is>
          <t>⬜ À enrichir</t>
        </is>
      </c>
      <c r="R452" s="10" t="n"/>
    </row>
    <row r="453" hidden="1" ht="15.75" customHeight="1" s="24">
      <c r="A453" s="6" t="n">
        <v>373</v>
      </c>
      <c r="B453" s="6" t="inlineStr">
        <is>
          <t>Loubna</t>
        </is>
      </c>
      <c r="C453" s="6" t="inlineStr">
        <is>
          <t>NHIRI</t>
        </is>
      </c>
      <c r="D453" s="6" t="n">
        <v>2025</v>
      </c>
      <c r="E453" s="6" t="inlineStr">
        <is>
          <t>rh</t>
        </is>
      </c>
      <c r="F453" s="6" t="inlineStr">
        <is>
          <t>Bénévole</t>
        </is>
      </c>
      <c r="G453" s="6" t="inlineStr">
        <is>
          <t>2025-06-04</t>
        </is>
      </c>
      <c r="H453" s="6" t="inlineStr">
        <is>
          <t>2025-12-05</t>
        </is>
      </c>
      <c r="I453" s="6" t="inlineStr">
        <is>
          <t>Alumni gratuit</t>
        </is>
      </c>
      <c r="J453" s="10" t="n"/>
      <c r="K453" s="10" t="n"/>
      <c r="L453" s="10" t="n"/>
      <c r="M453" s="10" t="n"/>
      <c r="N453" s="10" t="n"/>
      <c r="O453" s="10" t="n"/>
      <c r="P453" s="10" t="n"/>
      <c r="Q453" s="10" t="inlineStr">
        <is>
          <t>⬜ À enrichir</t>
        </is>
      </c>
      <c r="R453" s="10" t="n"/>
    </row>
    <row r="454" hidden="1" ht="15.75" customHeight="1" s="24">
      <c r="A454" s="6" t="n">
        <v>381</v>
      </c>
      <c r="B454" s="6" t="inlineStr">
        <is>
          <t>Khouloud</t>
        </is>
      </c>
      <c r="C454" s="6" t="inlineStr">
        <is>
          <t>Nagga</t>
        </is>
      </c>
      <c r="D454" s="6" t="n">
        <v>2025</v>
      </c>
      <c r="E454" s="6" t="inlineStr">
        <is>
          <t xml:space="preserve">Support IT </t>
        </is>
      </c>
      <c r="F454" s="6" t="inlineStr">
        <is>
          <t>Bénévole</t>
        </is>
      </c>
      <c r="G454" s="6" t="inlineStr">
        <is>
          <t>2025-03-27</t>
        </is>
      </c>
      <c r="H454" s="6" t="inlineStr">
        <is>
          <t>2025-06-27</t>
        </is>
      </c>
      <c r="I454" s="6" t="n"/>
      <c r="J454" s="10" t="n"/>
      <c r="K454" s="10" t="n"/>
      <c r="L454" s="10" t="n"/>
      <c r="M454" s="10" t="n"/>
      <c r="N454" s="10" t="n"/>
      <c r="O454" s="10" t="n"/>
      <c r="P454" s="10" t="n"/>
      <c r="Q454" s="10" t="inlineStr">
        <is>
          <t>⬜ À enrichir</t>
        </is>
      </c>
      <c r="R454" s="10" t="n"/>
    </row>
    <row r="455" hidden="1" ht="15.75" customHeight="1" s="24">
      <c r="A455" s="6" t="n">
        <v>385</v>
      </c>
      <c r="B455" s="6" t="inlineStr">
        <is>
          <t>IDA</t>
        </is>
      </c>
      <c r="C455" s="6" t="inlineStr">
        <is>
          <t>OBLIGER</t>
        </is>
      </c>
      <c r="D455" s="6" t="n">
        <v>2025</v>
      </c>
      <c r="E455" s="6" t="inlineStr">
        <is>
          <t xml:space="preserve">Traduction </t>
        </is>
      </c>
      <c r="F455" s="6" t="inlineStr">
        <is>
          <t>Conventioné</t>
        </is>
      </c>
      <c r="G455" s="6" t="inlineStr">
        <is>
          <t>2025-05-05</t>
        </is>
      </c>
      <c r="H455" s="6" t="inlineStr">
        <is>
          <t>2025-08-29</t>
        </is>
      </c>
      <c r="I455" s="6" t="n"/>
      <c r="J455" s="10" t="n"/>
      <c r="K455" s="10" t="n"/>
      <c r="L455" s="10" t="n"/>
      <c r="M455" s="10" t="n"/>
      <c r="N455" s="10" t="n"/>
      <c r="O455" s="10" t="n"/>
      <c r="P455" s="10" t="n"/>
      <c r="Q455" s="10" t="inlineStr">
        <is>
          <t>⬜ À enrichir</t>
        </is>
      </c>
      <c r="R455" s="10" t="n"/>
    </row>
    <row r="456" hidden="1" ht="15.75" customHeight="1" s="24">
      <c r="A456" s="6" t="n">
        <v>390</v>
      </c>
      <c r="B456" s="6" t="inlineStr">
        <is>
          <t>Laura</t>
        </is>
      </c>
      <c r="C456" s="6" t="inlineStr">
        <is>
          <t>PAHON</t>
        </is>
      </c>
      <c r="D456" s="6" t="n">
        <v>2025</v>
      </c>
      <c r="E456" s="6" t="inlineStr">
        <is>
          <t>rh</t>
        </is>
      </c>
      <c r="F456" s="6" t="inlineStr">
        <is>
          <t>Bénévole</t>
        </is>
      </c>
      <c r="G456" s="6" t="inlineStr">
        <is>
          <t>2025-03-19</t>
        </is>
      </c>
      <c r="H456" s="6" t="inlineStr">
        <is>
          <t>2025-09-19</t>
        </is>
      </c>
      <c r="I456" s="6" t="inlineStr">
        <is>
          <t>Alumni gratuit</t>
        </is>
      </c>
      <c r="J456" s="10" t="n"/>
      <c r="K456" s="10" t="n"/>
      <c r="L456" s="10" t="n"/>
      <c r="M456" s="10" t="n"/>
      <c r="N456" s="10" t="n"/>
      <c r="O456" s="10" t="n"/>
      <c r="P456" s="10" t="n"/>
      <c r="Q456" s="10" t="inlineStr">
        <is>
          <t>⬜ À enrichir</t>
        </is>
      </c>
      <c r="R456" s="10" t="n"/>
    </row>
    <row r="457" hidden="1" ht="15.75" customHeight="1" s="24">
      <c r="A457" s="6" t="n">
        <v>396</v>
      </c>
      <c r="B457" s="6" t="inlineStr">
        <is>
          <t>Anne</t>
        </is>
      </c>
      <c r="C457" s="6" t="inlineStr">
        <is>
          <t>PASSOT</t>
        </is>
      </c>
      <c r="D457" s="6" t="n">
        <v>2025</v>
      </c>
      <c r="E457" s="6" t="inlineStr">
        <is>
          <t>PAC RH</t>
        </is>
      </c>
      <c r="F457" s="6" t="inlineStr">
        <is>
          <t>Bénévole</t>
        </is>
      </c>
      <c r="G457" s="6" t="inlineStr">
        <is>
          <t>2025-09-01</t>
        </is>
      </c>
      <c r="H457" s="6" t="inlineStr">
        <is>
          <t>2026-03-20</t>
        </is>
      </c>
      <c r="I457" s="6" t="inlineStr">
        <is>
          <t>Non</t>
        </is>
      </c>
      <c r="J457" s="10" t="n"/>
      <c r="K457" s="10" t="n"/>
      <c r="L457" s="10" t="n"/>
      <c r="M457" s="10" t="n"/>
      <c r="N457" s="10" t="n"/>
      <c r="O457" s="10" t="n"/>
      <c r="P457" s="10" t="n"/>
      <c r="Q457" s="10" t="inlineStr">
        <is>
          <t>⬜ À enrichir</t>
        </is>
      </c>
      <c r="R457" s="10" t="n"/>
    </row>
    <row r="458" hidden="1" ht="15.75" customHeight="1" s="24">
      <c r="A458" s="6" t="n">
        <v>397</v>
      </c>
      <c r="B458" s="6" t="inlineStr">
        <is>
          <t>Omar</t>
        </is>
      </c>
      <c r="C458" s="6" t="inlineStr">
        <is>
          <t>PAZOS</t>
        </is>
      </c>
      <c r="D458" s="6" t="n">
        <v>2025</v>
      </c>
      <c r="E458" s="6" t="inlineStr">
        <is>
          <t>Analyste économique / Chargé de projet en économie</t>
        </is>
      </c>
      <c r="F458" s="6" t="inlineStr">
        <is>
          <t>Bénévole</t>
        </is>
      </c>
      <c r="G458" s="6" t="inlineStr">
        <is>
          <t>2025-05-20</t>
        </is>
      </c>
      <c r="H458" s="6" t="inlineStr">
        <is>
          <t>2025-08-13</t>
        </is>
      </c>
      <c r="I458" s="6" t="n"/>
      <c r="J458" s="10" t="n"/>
      <c r="K458" s="10" t="n"/>
      <c r="L458" s="10" t="n"/>
      <c r="M458" s="10" t="n"/>
      <c r="N458" s="10" t="n"/>
      <c r="O458" s="10" t="n"/>
      <c r="P458" s="10" t="n"/>
      <c r="Q458" s="10" t="inlineStr">
        <is>
          <t>⬜ À enrichir</t>
        </is>
      </c>
      <c r="R458" s="10" t="n"/>
    </row>
    <row r="459" hidden="1" ht="15.75" customHeight="1" s="24">
      <c r="A459" s="6" t="n">
        <v>403</v>
      </c>
      <c r="B459" s="6" t="inlineStr">
        <is>
          <t>Anna</t>
        </is>
      </c>
      <c r="C459" s="6" t="inlineStr">
        <is>
          <t>PINKHAEVA</t>
        </is>
      </c>
      <c r="D459" s="6" t="n">
        <v>2025</v>
      </c>
      <c r="E459" s="6" t="inlineStr">
        <is>
          <t>CM Partanariat / Répertoire vert Branding</t>
        </is>
      </c>
      <c r="F459" s="6" t="inlineStr">
        <is>
          <t>Conventioné</t>
        </is>
      </c>
      <c r="G459" s="6" t="inlineStr">
        <is>
          <t>2025-02-10</t>
        </is>
      </c>
      <c r="H459" s="6" t="inlineStr">
        <is>
          <t>2025-08-15</t>
        </is>
      </c>
      <c r="I459" s="6" t="inlineStr">
        <is>
          <t>Alumni gratuit</t>
        </is>
      </c>
      <c r="J459" s="10" t="n"/>
      <c r="K459" s="10" t="n"/>
      <c r="L459" s="10" t="n"/>
      <c r="M459" s="10" t="n"/>
      <c r="N459" s="10" t="n"/>
      <c r="O459" s="10" t="n"/>
      <c r="P459" s="10" t="n"/>
      <c r="Q459" s="10" t="inlineStr">
        <is>
          <t>⬜ À enrichir</t>
        </is>
      </c>
      <c r="R459" s="10" t="n"/>
    </row>
    <row r="460" hidden="1" ht="15.75" customHeight="1" s="24">
      <c r="A460" s="6" t="n">
        <v>407</v>
      </c>
      <c r="B460" s="6" t="inlineStr">
        <is>
          <t>Katie</t>
        </is>
      </c>
      <c r="C460" s="6" t="inlineStr">
        <is>
          <t>POTIER</t>
        </is>
      </c>
      <c r="D460" s="6" t="n">
        <v>2025</v>
      </c>
      <c r="E460" s="6" t="inlineStr">
        <is>
          <t>TRADUCTION</t>
        </is>
      </c>
      <c r="F460" s="6" t="inlineStr">
        <is>
          <t>Conventioné</t>
        </is>
      </c>
      <c r="G460" s="6" t="inlineStr">
        <is>
          <t>2024-11-04</t>
        </is>
      </c>
      <c r="H460" s="6" t="inlineStr">
        <is>
          <t>2025-05-23</t>
        </is>
      </c>
      <c r="I460" s="6" t="n"/>
      <c r="J460" s="10" t="n"/>
      <c r="K460" s="10" t="n"/>
      <c r="L460" s="10" t="n"/>
      <c r="M460" s="10" t="n"/>
      <c r="N460" s="10" t="n"/>
      <c r="O460" s="10" t="n"/>
      <c r="P460" s="10" t="n"/>
      <c r="Q460" s="10" t="inlineStr">
        <is>
          <t>⬜ À enrichir</t>
        </is>
      </c>
      <c r="R460" s="10" t="n"/>
    </row>
    <row r="461" hidden="1" ht="15.75" customHeight="1" s="24">
      <c r="A461" s="6" t="n">
        <v>410</v>
      </c>
      <c r="B461" s="6" t="inlineStr">
        <is>
          <t>Sofie</t>
        </is>
      </c>
      <c r="C461" s="6" t="inlineStr">
        <is>
          <t>Qwarnström</t>
        </is>
      </c>
      <c r="D461" s="6" t="n">
        <v>2025</v>
      </c>
      <c r="E461" s="6" t="inlineStr">
        <is>
          <t>coach</t>
        </is>
      </c>
      <c r="F461" s="6" t="inlineStr">
        <is>
          <t>Bénévole</t>
        </is>
      </c>
      <c r="G461" s="6" t="inlineStr">
        <is>
          <t>2024-09-11</t>
        </is>
      </c>
      <c r="H461" s="6" t="inlineStr">
        <is>
          <t>2024-12-13</t>
        </is>
      </c>
      <c r="I461" s="6" t="inlineStr">
        <is>
          <t>Non</t>
        </is>
      </c>
      <c r="J461" s="10" t="n"/>
      <c r="K461" s="10" t="n"/>
      <c r="L461" s="10" t="n"/>
      <c r="M461" s="10" t="n"/>
      <c r="N461" s="10" t="n"/>
      <c r="O461" s="10" t="n"/>
      <c r="P461" s="10" t="n"/>
      <c r="Q461" s="10" t="inlineStr">
        <is>
          <t>⬜ À enrichir</t>
        </is>
      </c>
      <c r="R461" s="10" t="n"/>
    </row>
    <row r="462" hidden="1" ht="15.75" customHeight="1" s="24">
      <c r="A462" s="6" t="n">
        <v>415</v>
      </c>
      <c r="B462" s="6" t="inlineStr">
        <is>
          <t>Macarena</t>
        </is>
      </c>
      <c r="C462" s="6" t="inlineStr">
        <is>
          <t>RAMOS</t>
        </is>
      </c>
      <c r="D462" s="6" t="n">
        <v>2025</v>
      </c>
      <c r="E462" s="6" t="inlineStr">
        <is>
          <t>analyste geographique / CCSDP</t>
        </is>
      </c>
      <c r="F462" s="6" t="inlineStr">
        <is>
          <t>Bénévole</t>
        </is>
      </c>
      <c r="G462" s="6" t="inlineStr">
        <is>
          <t>2025-11-25</t>
        </is>
      </c>
      <c r="H462" s="6" t="inlineStr">
        <is>
          <t>2026-06-06</t>
        </is>
      </c>
      <c r="I462" s="6" t="n"/>
      <c r="J462" s="10" t="n"/>
      <c r="K462" s="10" t="n"/>
      <c r="L462" s="10" t="n"/>
      <c r="M462" s="10" t="n"/>
      <c r="N462" s="10" t="n"/>
      <c r="O462" s="10" t="n"/>
      <c r="P462" s="10" t="n"/>
      <c r="Q462" s="10" t="inlineStr">
        <is>
          <t>⬜ À enrichir</t>
        </is>
      </c>
      <c r="R462" s="10" t="n"/>
    </row>
    <row r="463" hidden="1" ht="15.75" customHeight="1" s="24">
      <c r="A463" s="6" t="n">
        <v>416</v>
      </c>
      <c r="B463" s="6" t="inlineStr">
        <is>
          <t>Leotrime</t>
        </is>
      </c>
      <c r="C463" s="6" t="inlineStr">
        <is>
          <t>RAMUSHI</t>
        </is>
      </c>
      <c r="D463" s="6" t="n">
        <v>2025</v>
      </c>
      <c r="E463" s="6" t="inlineStr">
        <is>
          <t>rh</t>
        </is>
      </c>
      <c r="F463" s="6" t="inlineStr">
        <is>
          <t>Bénévole</t>
        </is>
      </c>
      <c r="G463" s="6" t="inlineStr">
        <is>
          <t>2025-09-24</t>
        </is>
      </c>
      <c r="H463" s="6" t="inlineStr">
        <is>
          <t>2026-04-17</t>
        </is>
      </c>
      <c r="I463" s="6" t="inlineStr">
        <is>
          <t>Alumni gratuit</t>
        </is>
      </c>
      <c r="J463" s="10" t="n"/>
      <c r="K463" s="10" t="n"/>
      <c r="L463" s="10" t="n"/>
      <c r="M463" s="10" t="n"/>
      <c r="N463" s="10" t="n"/>
      <c r="O463" s="10" t="n"/>
      <c r="P463" s="10" t="n"/>
      <c r="Q463" s="10" t="inlineStr">
        <is>
          <t>⬜ À enrichir</t>
        </is>
      </c>
      <c r="R463" s="10" t="n"/>
    </row>
    <row r="464" hidden="1" ht="15.75" customHeight="1" s="24">
      <c r="A464" s="6" t="n">
        <v>422</v>
      </c>
      <c r="B464" s="6" t="inlineStr">
        <is>
          <t>Carole (Nadine)</t>
        </is>
      </c>
      <c r="C464" s="6" t="inlineStr">
        <is>
          <t>RICHOU</t>
        </is>
      </c>
      <c r="D464" s="6" t="n">
        <v>2025</v>
      </c>
      <c r="E464" s="6" t="inlineStr">
        <is>
          <t>rh</t>
        </is>
      </c>
      <c r="F464" s="6" t="inlineStr">
        <is>
          <t>Bénévole</t>
        </is>
      </c>
      <c r="G464" s="6" t="inlineStr">
        <is>
          <t>2025-08-04</t>
        </is>
      </c>
      <c r="H464" s="6" t="inlineStr">
        <is>
          <t>2026-02-27</t>
        </is>
      </c>
      <c r="I464" s="6" t="inlineStr">
        <is>
          <t>Non</t>
        </is>
      </c>
      <c r="J464" s="10" t="n"/>
      <c r="K464" s="10" t="n"/>
      <c r="L464" s="10" t="n"/>
      <c r="M464" s="10" t="n"/>
      <c r="N464" s="10" t="n"/>
      <c r="O464" s="10" t="n"/>
      <c r="P464" s="10" t="n"/>
      <c r="Q464" s="10" t="inlineStr">
        <is>
          <t>⬜ À enrichir</t>
        </is>
      </c>
      <c r="R464" s="10" t="n"/>
    </row>
    <row r="465" hidden="1" ht="15.75" customHeight="1" s="24">
      <c r="A465" s="6" t="n">
        <v>424</v>
      </c>
      <c r="B465" s="6" t="inlineStr">
        <is>
          <t>Nader</t>
        </is>
      </c>
      <c r="C465" s="6" t="inlineStr">
        <is>
          <t>RIZK</t>
        </is>
      </c>
      <c r="D465" s="6" t="n">
        <v>2025</v>
      </c>
      <c r="E465" s="6" t="inlineStr">
        <is>
          <t>Ingénieur en mécanique de conception (Eco-Conso)</t>
        </is>
      </c>
      <c r="F465" s="6" t="inlineStr">
        <is>
          <t>Bénévole</t>
        </is>
      </c>
      <c r="G465" s="6" t="inlineStr">
        <is>
          <t>2025-07-02</t>
        </is>
      </c>
      <c r="H465" s="6" t="inlineStr">
        <is>
          <t>2025-09-25</t>
        </is>
      </c>
      <c r="I465" s="6" t="n"/>
      <c r="J465" s="10" t="n"/>
      <c r="K465" s="10" t="n"/>
      <c r="L465" s="10" t="n"/>
      <c r="M465" s="10" t="n"/>
      <c r="N465" s="10" t="n"/>
      <c r="O465" s="10" t="n"/>
      <c r="P465" s="10" t="n"/>
      <c r="Q465" s="10" t="inlineStr">
        <is>
          <t>⬜ À enrichir</t>
        </is>
      </c>
      <c r="R465" s="10" t="n"/>
    </row>
    <row r="466" hidden="1" ht="15.75" customHeight="1" s="24">
      <c r="A466" s="6" t="n">
        <v>428</v>
      </c>
      <c r="B466" s="6" t="inlineStr">
        <is>
          <t>Line</t>
        </is>
      </c>
      <c r="C466" s="6" t="inlineStr">
        <is>
          <t>ROUSSEAU</t>
        </is>
      </c>
      <c r="D466" s="6" t="n">
        <v>2025</v>
      </c>
      <c r="E466" s="6" t="inlineStr">
        <is>
          <t>Sociologue spécialisée de l'éducation</t>
        </is>
      </c>
      <c r="F466" s="6" t="inlineStr">
        <is>
          <t>Conventioné</t>
        </is>
      </c>
      <c r="G466" s="6" t="inlineStr">
        <is>
          <t>2025-06-02</t>
        </is>
      </c>
      <c r="H466" s="6" t="inlineStr">
        <is>
          <t>2025-09-05</t>
        </is>
      </c>
      <c r="I466" s="6" t="n"/>
      <c r="J466" s="10" t="n"/>
      <c r="K466" s="10" t="n"/>
      <c r="L466" s="10" t="n"/>
      <c r="M466" s="10" t="n"/>
      <c r="N466" s="10" t="n"/>
      <c r="O466" s="10" t="n"/>
      <c r="P466" s="10" t="n"/>
      <c r="Q466" s="10" t="inlineStr">
        <is>
          <t>⬜ À enrichir</t>
        </is>
      </c>
      <c r="R466" s="10" t="n"/>
    </row>
    <row r="467" hidden="1" ht="15.75" customHeight="1" s="24">
      <c r="A467" s="6" t="n">
        <v>430</v>
      </c>
      <c r="B467" s="6" t="inlineStr">
        <is>
          <t>Philippe</t>
        </is>
      </c>
      <c r="C467" s="6" t="inlineStr">
        <is>
          <t>RUDAZ</t>
        </is>
      </c>
      <c r="D467" s="6" t="n">
        <v>2025</v>
      </c>
      <c r="E467" s="6" t="inlineStr">
        <is>
          <t xml:space="preserve">Statiques - Chargé de projet - Analyste impact environnementale </t>
        </is>
      </c>
      <c r="F467" s="6" t="inlineStr">
        <is>
          <t>Bénévole</t>
        </is>
      </c>
      <c r="G467" s="6" t="inlineStr">
        <is>
          <t>2025-08-18</t>
        </is>
      </c>
      <c r="H467" s="6" t="inlineStr">
        <is>
          <t>2026-03-13</t>
        </is>
      </c>
      <c r="I467" s="6" t="n"/>
      <c r="J467" s="10" t="n"/>
      <c r="K467" s="10" t="n"/>
      <c r="L467" s="10" t="n"/>
      <c r="M467" s="10" t="n"/>
      <c r="N467" s="10" t="n"/>
      <c r="O467" s="10" t="n"/>
      <c r="P467" s="10" t="n"/>
      <c r="Q467" s="10" t="inlineStr">
        <is>
          <t>⬜ À enrichir</t>
        </is>
      </c>
      <c r="R467" s="10" t="n"/>
    </row>
    <row r="468" hidden="1" ht="15.75" customHeight="1" s="24">
      <c r="A468" s="6" t="n">
        <v>439</v>
      </c>
      <c r="B468" s="6" t="inlineStr">
        <is>
          <t>Amine</t>
        </is>
      </c>
      <c r="C468" s="6" t="inlineStr">
        <is>
          <t>SAMTI</t>
        </is>
      </c>
      <c r="D468" s="6" t="n">
        <v>2025</v>
      </c>
      <c r="E468" s="6" t="inlineStr">
        <is>
          <t xml:space="preserve">Supply chain - Sustainability Club
</t>
        </is>
      </c>
      <c r="F468" s="6" t="inlineStr">
        <is>
          <t>Bénévole</t>
        </is>
      </c>
      <c r="G468" s="6" t="inlineStr">
        <is>
          <t>2024-12-16</t>
        </is>
      </c>
      <c r="H468" s="6" t="inlineStr">
        <is>
          <t>2025-07-04</t>
        </is>
      </c>
      <c r="I468" s="6" t="inlineStr">
        <is>
          <t>Non</t>
        </is>
      </c>
      <c r="J468" s="10" t="n"/>
      <c r="K468" s="10" t="n"/>
      <c r="L468" s="10" t="n"/>
      <c r="M468" s="10" t="n"/>
      <c r="N468" s="10" t="n"/>
      <c r="O468" s="10" t="n"/>
      <c r="P468" s="10" t="n"/>
      <c r="Q468" s="10" t="inlineStr">
        <is>
          <t>⬜ À enrichir</t>
        </is>
      </c>
      <c r="R468" s="10" t="n"/>
    </row>
    <row r="469" hidden="1" ht="15.75" customHeight="1" s="24">
      <c r="A469" s="6" t="n">
        <v>442</v>
      </c>
      <c r="B469" s="6" t="inlineStr">
        <is>
          <t>Papa Abdoulaye</t>
        </is>
      </c>
      <c r="C469" s="6" t="inlineStr">
        <is>
          <t>SARR</t>
        </is>
      </c>
      <c r="D469" s="6" t="n">
        <v>2025</v>
      </c>
      <c r="E469" s="6" t="inlineStr">
        <is>
          <t>Statisticien</t>
        </is>
      </c>
      <c r="F469" s="6" t="inlineStr">
        <is>
          <t>Bénévole</t>
        </is>
      </c>
      <c r="G469" s="6" t="inlineStr">
        <is>
          <t>2024-09-09</t>
        </is>
      </c>
      <c r="H469" s="6" t="inlineStr">
        <is>
          <t>2025-03-28</t>
        </is>
      </c>
      <c r="I469" s="6" t="n"/>
      <c r="J469" s="10" t="n"/>
      <c r="K469" s="10" t="n"/>
      <c r="L469" s="10" t="n"/>
      <c r="M469" s="10" t="n"/>
      <c r="N469" s="10" t="n"/>
      <c r="O469" s="10" t="n"/>
      <c r="P469" s="10" t="n"/>
      <c r="Q469" s="10" t="inlineStr">
        <is>
          <t>⬜ À enrichir</t>
        </is>
      </c>
      <c r="R469" s="10" t="n"/>
    </row>
    <row r="470" hidden="1" ht="15.75" customHeight="1" s="24">
      <c r="A470" s="6" t="n">
        <v>445</v>
      </c>
      <c r="B470" s="6" t="inlineStr">
        <is>
          <t>Rossella</t>
        </is>
      </c>
      <c r="C470" s="6" t="inlineStr">
        <is>
          <t>SBIRZIOLA</t>
        </is>
      </c>
      <c r="D470" s="6" t="n">
        <v>2025</v>
      </c>
      <c r="E470" s="6" t="inlineStr">
        <is>
          <t xml:space="preserve">Juriste </t>
        </is>
      </c>
      <c r="F470" s="6" t="inlineStr">
        <is>
          <t>Bénévole</t>
        </is>
      </c>
      <c r="G470" s="6" t="inlineStr">
        <is>
          <t>2025-07-07</t>
        </is>
      </c>
      <c r="H470" s="6" t="inlineStr">
        <is>
          <t>2026-01-31</t>
        </is>
      </c>
      <c r="I470" s="6" t="inlineStr">
        <is>
          <t>Alumni gratuit</t>
        </is>
      </c>
      <c r="J470" s="10" t="n"/>
      <c r="K470" s="10" t="n"/>
      <c r="L470" s="10" t="n"/>
      <c r="M470" s="10" t="n"/>
      <c r="N470" s="10" t="n"/>
      <c r="O470" s="10" t="n"/>
      <c r="P470" s="10" t="n"/>
      <c r="Q470" s="10" t="inlineStr">
        <is>
          <t>⬜ À enrichir</t>
        </is>
      </c>
      <c r="R470" s="10" t="n"/>
    </row>
    <row r="471" hidden="1" ht="15.75" customHeight="1" s="24">
      <c r="A471" s="6" t="n">
        <v>448</v>
      </c>
      <c r="B471" s="6" t="inlineStr">
        <is>
          <t>Lucas</t>
        </is>
      </c>
      <c r="C471" s="6" t="inlineStr">
        <is>
          <t>SEURRE</t>
        </is>
      </c>
      <c r="D471" s="6" t="n">
        <v>2025</v>
      </c>
      <c r="E471" s="6" t="inlineStr">
        <is>
          <t>Testeur logiciel</t>
        </is>
      </c>
      <c r="F471" s="6" t="inlineStr">
        <is>
          <t>Conventioné</t>
        </is>
      </c>
      <c r="G471" s="6" t="inlineStr">
        <is>
          <t>2025-10-20</t>
        </is>
      </c>
      <c r="H471" s="6" t="inlineStr">
        <is>
          <t>2026-01-23</t>
        </is>
      </c>
      <c r="I471" s="6" t="inlineStr">
        <is>
          <t>Alumni gratuit</t>
        </is>
      </c>
      <c r="J471" s="10" t="n"/>
      <c r="K471" s="10" t="n"/>
      <c r="L471" s="10" t="n"/>
      <c r="M471" s="10" t="n"/>
      <c r="N471" s="10" t="n"/>
      <c r="O471" s="10" t="n"/>
      <c r="P471" s="10" t="n"/>
      <c r="Q471" s="10" t="inlineStr">
        <is>
          <t>⬜ À enrichir</t>
        </is>
      </c>
      <c r="R471" s="10" t="n"/>
    </row>
    <row r="472" hidden="1" ht="15.75" customHeight="1" s="24">
      <c r="A472" s="6" t="n">
        <v>452</v>
      </c>
      <c r="B472" s="6" t="inlineStr">
        <is>
          <t>Paulo</t>
        </is>
      </c>
      <c r="C472" s="6" t="inlineStr">
        <is>
          <t>SILVA</t>
        </is>
      </c>
      <c r="D472" s="6" t="n">
        <v>2025</v>
      </c>
      <c r="E472" s="6" t="inlineStr">
        <is>
          <t xml:space="preserve">traduction </t>
        </is>
      </c>
      <c r="F472" s="6" t="inlineStr">
        <is>
          <t>Bénévole</t>
        </is>
      </c>
      <c r="G472" s="6" t="inlineStr">
        <is>
          <t>2024-09-02</t>
        </is>
      </c>
      <c r="H472" s="6" t="inlineStr">
        <is>
          <t>2025-03-21</t>
        </is>
      </c>
      <c r="I472" s="6" t="n"/>
      <c r="J472" s="10" t="n"/>
      <c r="K472" s="10" t="n"/>
      <c r="L472" s="10" t="n"/>
      <c r="M472" s="10" t="n"/>
      <c r="N472" s="10" t="n"/>
      <c r="O472" s="10" t="n"/>
      <c r="P472" s="10" t="n"/>
      <c r="Q472" s="10" t="inlineStr">
        <is>
          <t>⬜ À enrichir</t>
        </is>
      </c>
      <c r="R472" s="10" t="n"/>
    </row>
    <row r="473" hidden="1" ht="15.75" customHeight="1" s="24">
      <c r="A473" s="6" t="n">
        <v>455</v>
      </c>
      <c r="B473" s="6" t="inlineStr">
        <is>
          <t>Nazarine</t>
        </is>
      </c>
      <c r="C473" s="6" t="inlineStr">
        <is>
          <t>SONDO</t>
        </is>
      </c>
      <c r="D473" s="6" t="n">
        <v>2025</v>
      </c>
      <c r="E473" s="6" t="inlineStr">
        <is>
          <t>rh</t>
        </is>
      </c>
      <c r="F473" s="6" t="inlineStr">
        <is>
          <t>Bénévole</t>
        </is>
      </c>
      <c r="G473" s="6" t="inlineStr">
        <is>
          <t>2025-08-04</t>
        </is>
      </c>
      <c r="H473" s="6" t="inlineStr">
        <is>
          <t>2026-02-27</t>
        </is>
      </c>
      <c r="I473" s="6" t="inlineStr">
        <is>
          <t>Alumni gratuit</t>
        </is>
      </c>
      <c r="J473" s="10" t="n"/>
      <c r="K473" s="10" t="n"/>
      <c r="L473" s="10" t="n"/>
      <c r="M473" s="10" t="n"/>
      <c r="N473" s="10" t="n"/>
      <c r="O473" s="10" t="n"/>
      <c r="P473" s="10" t="n"/>
      <c r="Q473" s="10" t="inlineStr">
        <is>
          <t>⬜ À enrichir</t>
        </is>
      </c>
      <c r="R473" s="10" t="n"/>
    </row>
    <row r="474" hidden="1" ht="15.75" customHeight="1" s="24">
      <c r="A474" s="6" t="n">
        <v>457</v>
      </c>
      <c r="B474" s="6" t="inlineStr">
        <is>
          <t>Talata</t>
        </is>
      </c>
      <c r="C474" s="6" t="inlineStr">
        <is>
          <t>SOW</t>
        </is>
      </c>
      <c r="D474" s="6" t="n">
        <v>2025</v>
      </c>
      <c r="E474" s="6" t="inlineStr">
        <is>
          <t xml:space="preserve">Fundraising et Partenarits </t>
        </is>
      </c>
      <c r="F474" s="6" t="inlineStr">
        <is>
          <t>Bénévole</t>
        </is>
      </c>
      <c r="G474" s="6" t="inlineStr">
        <is>
          <t>2024-10-10</t>
        </is>
      </c>
      <c r="H474" s="6" t="inlineStr">
        <is>
          <t>2025-04-18</t>
        </is>
      </c>
      <c r="I474" s="6" t="inlineStr">
        <is>
          <t>Alumni gratuit</t>
        </is>
      </c>
      <c r="J474" s="10" t="n"/>
      <c r="K474" s="10" t="n"/>
      <c r="L474" s="10" t="n"/>
      <c r="M474" s="10" t="n"/>
      <c r="N474" s="10" t="n"/>
      <c r="O474" s="10" t="n"/>
      <c r="P474" s="10" t="n"/>
      <c r="Q474" s="10" t="inlineStr">
        <is>
          <t>⬜ À enrichir</t>
        </is>
      </c>
      <c r="R474" s="10" t="n"/>
    </row>
    <row r="475" hidden="1" ht="15.75" customHeight="1" s="24">
      <c r="A475" s="6" t="n">
        <v>459</v>
      </c>
      <c r="B475" s="6" t="inlineStr">
        <is>
          <t>Christine</t>
        </is>
      </c>
      <c r="C475" s="6" t="inlineStr">
        <is>
          <t>STORNI</t>
        </is>
      </c>
      <c r="D475" s="6" t="n">
        <v>2025</v>
      </c>
      <c r="E475" s="6" t="inlineStr">
        <is>
          <t>rh</t>
        </is>
      </c>
      <c r="F475" s="6" t="inlineStr">
        <is>
          <t>Bénévole</t>
        </is>
      </c>
      <c r="G475" s="6" t="inlineStr">
        <is>
          <t>2024-10-02</t>
        </is>
      </c>
      <c r="H475" s="6" t="inlineStr">
        <is>
          <t>2025-03-14</t>
        </is>
      </c>
      <c r="I475" s="6" t="inlineStr">
        <is>
          <t>Alumni gratuit</t>
        </is>
      </c>
      <c r="J475" s="10" t="n"/>
      <c r="K475" s="10" t="n"/>
      <c r="L475" s="10" t="n"/>
      <c r="M475" s="10" t="n"/>
      <c r="N475" s="10" t="n"/>
      <c r="O475" s="10" t="n"/>
      <c r="P475" s="10" t="n"/>
      <c r="Q475" s="10" t="inlineStr">
        <is>
          <t>⬜ À enrichir</t>
        </is>
      </c>
      <c r="R475" s="10" t="n"/>
    </row>
    <row r="476" hidden="1" ht="15.75" customHeight="1" s="24">
      <c r="A476" s="6" t="n">
        <v>471</v>
      </c>
      <c r="B476" s="6" t="inlineStr">
        <is>
          <t>Agata</t>
        </is>
      </c>
      <c r="C476" s="6" t="inlineStr">
        <is>
          <t>TARGOSZ</t>
        </is>
      </c>
      <c r="D476" s="6" t="n">
        <v>2025</v>
      </c>
      <c r="E476" s="6" t="inlineStr">
        <is>
          <t>rh</t>
        </is>
      </c>
      <c r="F476" s="6" t="inlineStr">
        <is>
          <t>Bénévole</t>
        </is>
      </c>
      <c r="G476" s="6" t="inlineStr">
        <is>
          <t>2024-10-09</t>
        </is>
      </c>
      <c r="H476" s="6" t="inlineStr">
        <is>
          <t>2025-04-30</t>
        </is>
      </c>
      <c r="I476" s="6" t="inlineStr">
        <is>
          <t>Non</t>
        </is>
      </c>
      <c r="J476" s="10" t="n"/>
      <c r="K476" s="10" t="n"/>
      <c r="L476" s="10" t="n"/>
      <c r="M476" s="10" t="n"/>
      <c r="N476" s="10" t="n"/>
      <c r="O476" s="10" t="n"/>
      <c r="P476" s="10" t="n"/>
      <c r="Q476" s="10" t="inlineStr">
        <is>
          <t>⬜ À enrichir</t>
        </is>
      </c>
      <c r="R476" s="10" t="n"/>
    </row>
    <row r="477" hidden="1" ht="15.75" customHeight="1" s="24">
      <c r="A477" s="6" t="n">
        <v>472</v>
      </c>
      <c r="B477" s="6" t="inlineStr">
        <is>
          <t>Alex Robain</t>
        </is>
      </c>
      <c r="C477" s="6" t="inlineStr">
        <is>
          <t>TEGUIM NDZEHA</t>
        </is>
      </c>
      <c r="D477" s="6" t="n">
        <v>2025</v>
      </c>
      <c r="E477" s="6" t="inlineStr">
        <is>
          <t>Coordinateur documentation et data mining</t>
        </is>
      </c>
      <c r="F477" s="6" t="inlineStr">
        <is>
          <t>Bénévole</t>
        </is>
      </c>
      <c r="G477" s="6" t="inlineStr">
        <is>
          <t>2024-08-12</t>
        </is>
      </c>
      <c r="H477" s="6" t="inlineStr">
        <is>
          <t>2025-03-07</t>
        </is>
      </c>
      <c r="I477" s="6" t="n"/>
      <c r="J477" s="10" t="n"/>
      <c r="K477" s="10" t="n"/>
      <c r="L477" s="10" t="n"/>
      <c r="M477" s="10" t="n"/>
      <c r="N477" s="10" t="n"/>
      <c r="O477" s="10" t="n"/>
      <c r="P477" s="10" t="n"/>
      <c r="Q477" s="10" t="inlineStr">
        <is>
          <t>⬜ À enrichir</t>
        </is>
      </c>
      <c r="R477" s="10" t="n"/>
    </row>
    <row r="478" hidden="1" ht="15.75" customHeight="1" s="24">
      <c r="A478" s="6" t="n">
        <v>474</v>
      </c>
      <c r="B478" s="6" t="inlineStr">
        <is>
          <t>Christophe</t>
        </is>
      </c>
      <c r="C478" s="6" t="inlineStr">
        <is>
          <t>TESCONI</t>
        </is>
      </c>
      <c r="D478" s="6" t="n">
        <v>2025</v>
      </c>
      <c r="E478" s="6" t="inlineStr">
        <is>
          <t xml:space="preserve">Développeur Web </t>
        </is>
      </c>
      <c r="F478" s="6" t="inlineStr">
        <is>
          <t>Bénévole</t>
        </is>
      </c>
      <c r="G478" s="6" t="inlineStr">
        <is>
          <t>2024-11-21</t>
        </is>
      </c>
      <c r="H478" s="6" t="inlineStr">
        <is>
          <t>2024-06-13</t>
        </is>
      </c>
      <c r="I478" s="6" t="inlineStr">
        <is>
          <t>Alumni gratuit</t>
        </is>
      </c>
      <c r="J478" s="10" t="n"/>
      <c r="K478" s="10" t="n"/>
      <c r="L478" s="10" t="n"/>
      <c r="M478" s="10" t="n"/>
      <c r="N478" s="10" t="n"/>
      <c r="O478" s="10" t="n"/>
      <c r="P478" s="10" t="n"/>
      <c r="Q478" s="10" t="inlineStr">
        <is>
          <t>⬜ À enrichir</t>
        </is>
      </c>
      <c r="R478" s="10" t="n"/>
    </row>
    <row r="479" hidden="1" ht="15.75" customHeight="1" s="24">
      <c r="A479" s="6" t="n">
        <v>479</v>
      </c>
      <c r="B479" s="6" t="inlineStr">
        <is>
          <t>Walter Noel</t>
        </is>
      </c>
      <c r="C479" s="6" t="inlineStr">
        <is>
          <t>TORNIER</t>
        </is>
      </c>
      <c r="D479" s="6" t="n">
        <v>2025</v>
      </c>
      <c r="E479" s="6" t="inlineStr">
        <is>
          <t xml:space="preserve">Coordinateur de projet </t>
        </is>
      </c>
      <c r="F479" s="6" t="inlineStr">
        <is>
          <t>Conventioné</t>
        </is>
      </c>
      <c r="G479" s="6" t="inlineStr">
        <is>
          <t>2024-06-03</t>
        </is>
      </c>
      <c r="H479" s="6" t="inlineStr">
        <is>
          <t>2024-09-06</t>
        </is>
      </c>
      <c r="I479" s="6" t="n"/>
      <c r="J479" s="10" t="n"/>
      <c r="K479" s="10" t="n"/>
      <c r="L479" s="10" t="n"/>
      <c r="M479" s="10" t="n"/>
      <c r="N479" s="10" t="n"/>
      <c r="O479" s="10" t="n"/>
      <c r="P479" s="10" t="n"/>
      <c r="Q479" s="10" t="inlineStr">
        <is>
          <t>⬜ À enrichir</t>
        </is>
      </c>
      <c r="R479" s="10" t="n"/>
    </row>
    <row r="480" hidden="1" ht="15.75" customHeight="1" s="24">
      <c r="A480" s="6" t="n">
        <v>481</v>
      </c>
      <c r="B480" s="6" t="inlineStr">
        <is>
          <t>Tida</t>
        </is>
      </c>
      <c r="C480" s="6" t="inlineStr">
        <is>
          <t>TOURE</t>
        </is>
      </c>
      <c r="D480" s="6" t="n">
        <v>2025</v>
      </c>
      <c r="E480" s="6" t="inlineStr">
        <is>
          <t>webDesigner</t>
        </is>
      </c>
      <c r="F480" s="6" t="inlineStr">
        <is>
          <t>Bénévole</t>
        </is>
      </c>
      <c r="G480" s="6" t="inlineStr">
        <is>
          <t>2024-11-25</t>
        </is>
      </c>
      <c r="H480" s="6" t="inlineStr">
        <is>
          <t>2024-03-14</t>
        </is>
      </c>
      <c r="I480" s="6" t="n"/>
      <c r="J480" s="10" t="n"/>
      <c r="K480" s="10" t="n"/>
      <c r="L480" s="10" t="n"/>
      <c r="M480" s="10" t="n"/>
      <c r="N480" s="10" t="n"/>
      <c r="O480" s="10" t="n"/>
      <c r="P480" s="10" t="n"/>
      <c r="Q480" s="10" t="inlineStr">
        <is>
          <t>⬜ À enrichir</t>
        </is>
      </c>
      <c r="R480" s="10" t="n"/>
    </row>
    <row r="481" hidden="1" ht="15.75" customHeight="1" s="24">
      <c r="A481" s="6" t="n">
        <v>482</v>
      </c>
      <c r="B481" s="6" t="inlineStr">
        <is>
          <t>Nour</t>
        </is>
      </c>
      <c r="C481" s="6" t="inlineStr">
        <is>
          <t>TOUZANI</t>
        </is>
      </c>
      <c r="D481" s="6" t="n">
        <v>2025</v>
      </c>
      <c r="E481" s="6" t="inlineStr">
        <is>
          <t>Eco-conception Cosmétiques Durables</t>
        </is>
      </c>
      <c r="F481" s="6" t="inlineStr">
        <is>
          <t>Bénévole</t>
        </is>
      </c>
      <c r="G481" s="6" t="inlineStr">
        <is>
          <t>2024-10-21</t>
        </is>
      </c>
      <c r="H481" s="6" t="inlineStr">
        <is>
          <t>2025-06-24</t>
        </is>
      </c>
      <c r="I481" s="6" t="n"/>
      <c r="J481" s="10" t="n"/>
      <c r="K481" s="10" t="n"/>
      <c r="L481" s="10" t="n"/>
      <c r="M481" s="10" t="n"/>
      <c r="N481" s="10" t="n"/>
      <c r="O481" s="10" t="n"/>
      <c r="P481" s="10" t="n"/>
      <c r="Q481" s="10" t="inlineStr">
        <is>
          <t>⬜ À enrichir</t>
        </is>
      </c>
      <c r="R481" s="10" t="n"/>
    </row>
    <row r="482" hidden="1" ht="15.75" customHeight="1" s="24">
      <c r="A482" s="6" t="n">
        <v>484</v>
      </c>
      <c r="B482" s="6" t="inlineStr">
        <is>
          <t>Amel</t>
        </is>
      </c>
      <c r="C482" s="6" t="inlineStr">
        <is>
          <t>TRIKI</t>
        </is>
      </c>
      <c r="D482" s="6" t="n">
        <v>2025</v>
      </c>
      <c r="E482" s="6" t="inlineStr">
        <is>
          <t>Gestionnaire de projet ACV et ESG</t>
        </is>
      </c>
      <c r="F482" s="6" t="inlineStr">
        <is>
          <t>Bénévole</t>
        </is>
      </c>
      <c r="G482" s="6" t="inlineStr">
        <is>
          <t>2025-10-20</t>
        </is>
      </c>
      <c r="H482" s="6" t="inlineStr">
        <is>
          <t>2026-02-13</t>
        </is>
      </c>
      <c r="I482" s="6" t="n"/>
      <c r="J482" s="10" t="n"/>
      <c r="K482" s="10" t="n"/>
      <c r="L482" s="10" t="n"/>
      <c r="M482" s="10" t="n"/>
      <c r="N482" s="10" t="n"/>
      <c r="O482" s="10" t="n"/>
      <c r="P482" s="10" t="n"/>
      <c r="Q482" s="10" t="inlineStr">
        <is>
          <t>⬜ À enrichir</t>
        </is>
      </c>
      <c r="R482" s="10" t="n"/>
    </row>
    <row r="483" hidden="1" ht="15.75" customHeight="1" s="24">
      <c r="A483" s="6" t="n">
        <v>491</v>
      </c>
      <c r="B483" s="6" t="inlineStr">
        <is>
          <t>Benoît</t>
        </is>
      </c>
      <c r="C483" s="6" t="inlineStr">
        <is>
          <t>VERCIER</t>
        </is>
      </c>
      <c r="D483" s="6" t="n">
        <v>2025</v>
      </c>
      <c r="E483" s="6" t="inlineStr">
        <is>
          <t>Eco consommation
Projets transversales
SDCC - Publication</t>
        </is>
      </c>
      <c r="F483" s="6" t="inlineStr">
        <is>
          <t>Conventioné</t>
        </is>
      </c>
      <c r="G483" s="6" t="inlineStr">
        <is>
          <t>2025-06-23</t>
        </is>
      </c>
      <c r="H483" s="6" t="inlineStr">
        <is>
          <t>2025-09-23</t>
        </is>
      </c>
      <c r="I483" s="6" t="inlineStr">
        <is>
          <t>Alumni gratuit</t>
        </is>
      </c>
      <c r="J483" s="10" t="n"/>
      <c r="K483" s="10" t="n"/>
      <c r="L483" s="10" t="n"/>
      <c r="M483" s="10" t="n"/>
      <c r="N483" s="10" t="n"/>
      <c r="O483" s="10" t="n"/>
      <c r="P483" s="10" t="n"/>
      <c r="Q483" s="10" t="inlineStr">
        <is>
          <t>⬜ À enrichir</t>
        </is>
      </c>
      <c r="R483" s="10" t="n"/>
    </row>
    <row r="484" hidden="1" ht="15.75" customHeight="1" s="24">
      <c r="A484" s="6" t="n">
        <v>496</v>
      </c>
      <c r="B484" s="6" t="inlineStr">
        <is>
          <t>Juliette</t>
        </is>
      </c>
      <c r="C484" s="6" t="inlineStr">
        <is>
          <t>WEIMER</t>
        </is>
      </c>
      <c r="D484" s="6" t="n">
        <v>2025</v>
      </c>
      <c r="E484" s="6" t="inlineStr">
        <is>
          <t>Psychologue du travail</t>
        </is>
      </c>
      <c r="F484" s="6" t="inlineStr">
        <is>
          <t>Bénévole</t>
        </is>
      </c>
      <c r="G484" s="6" t="inlineStr">
        <is>
          <t>2025-10-27</t>
        </is>
      </c>
      <c r="H484" s="6" t="inlineStr">
        <is>
          <t>2026-05-22</t>
        </is>
      </c>
      <c r="I484" s="6" t="n"/>
      <c r="J484" s="10" t="n"/>
      <c r="K484" s="10" t="n"/>
      <c r="L484" s="10" t="n"/>
      <c r="M484" s="10" t="n"/>
      <c r="N484" s="10" t="n"/>
      <c r="O484" s="10" t="n"/>
      <c r="P484" s="10" t="n"/>
      <c r="Q484" s="10" t="inlineStr">
        <is>
          <t>⬜ À enrichir</t>
        </is>
      </c>
      <c r="R484" s="10" t="n"/>
    </row>
    <row r="485" hidden="1" ht="15.75" customHeight="1" s="24">
      <c r="A485" s="6" t="n">
        <v>499</v>
      </c>
      <c r="B485" s="6" t="inlineStr">
        <is>
          <t>Gaëtan</t>
        </is>
      </c>
      <c r="C485" s="6" t="inlineStr">
        <is>
          <t>YERLY</t>
        </is>
      </c>
      <c r="D485" s="6" t="n">
        <v>2025</v>
      </c>
      <c r="E485" s="6" t="inlineStr">
        <is>
          <t>Collaborateur sociologie</t>
        </is>
      </c>
      <c r="F485" s="6" t="inlineStr">
        <is>
          <t>Bénévole</t>
        </is>
      </c>
      <c r="G485" s="6" t="inlineStr">
        <is>
          <t>2025-03-10</t>
        </is>
      </c>
      <c r="H485" s="6" t="inlineStr">
        <is>
          <t>2025-07-11</t>
        </is>
      </c>
      <c r="I485" s="6" t="inlineStr">
        <is>
          <t>Alumni gratuit</t>
        </is>
      </c>
      <c r="J485" s="10" t="n"/>
      <c r="K485" s="10" t="n"/>
      <c r="L485" s="10" t="n"/>
      <c r="M485" s="10" t="n"/>
      <c r="N485" s="10" t="n"/>
      <c r="O485" s="10" t="n"/>
      <c r="P485" s="10" t="n"/>
      <c r="Q485" s="10" t="inlineStr">
        <is>
          <t>⬜ À enrichir</t>
        </is>
      </c>
      <c r="R485" s="10" t="n"/>
    </row>
    <row r="486" hidden="1" ht="15.75" customHeight="1" s="24">
      <c r="A486" s="6" t="n">
        <v>500</v>
      </c>
      <c r="B486" s="6" t="inlineStr">
        <is>
          <t>Mahmut</t>
        </is>
      </c>
      <c r="C486" s="6" t="inlineStr">
        <is>
          <t>YILDIRIM</t>
        </is>
      </c>
      <c r="D486" s="6" t="n">
        <v>2025</v>
      </c>
      <c r="E486" s="6" t="inlineStr">
        <is>
          <t>Chargé(e) de veille/intelligence économique (H/F)</t>
        </is>
      </c>
      <c r="F486" s="6" t="inlineStr">
        <is>
          <t>Bénévole</t>
        </is>
      </c>
      <c r="G486" s="6" t="inlineStr">
        <is>
          <t>2025-09-01</t>
        </is>
      </c>
      <c r="H486" s="6" t="inlineStr">
        <is>
          <t>2026-03-20</t>
        </is>
      </c>
      <c r="I486" s="6" t="n"/>
      <c r="J486" s="10" t="n"/>
      <c r="K486" s="10" t="n"/>
      <c r="L486" s="10" t="n"/>
      <c r="M486" s="10" t="n"/>
      <c r="N486" s="10" t="n"/>
      <c r="O486" s="10" t="n"/>
      <c r="P486" s="10" t="n"/>
      <c r="Q486" s="10" t="inlineStr">
        <is>
          <t>⬜ À enrichir</t>
        </is>
      </c>
      <c r="R486" s="10" t="n"/>
    </row>
    <row r="487" hidden="1" ht="15.75" customHeight="1" s="24">
      <c r="A487" s="6" t="n">
        <v>501</v>
      </c>
      <c r="B487" s="6" t="inlineStr">
        <is>
          <t>Sabrina</t>
        </is>
      </c>
      <c r="C487" s="6" t="inlineStr">
        <is>
          <t>Yahi</t>
        </is>
      </c>
      <c r="D487" s="6" t="n">
        <v>2025</v>
      </c>
      <c r="E487" s="6" t="inlineStr">
        <is>
          <t>rh</t>
        </is>
      </c>
      <c r="F487" s="6" t="inlineStr">
        <is>
          <t>Bénévole</t>
        </is>
      </c>
      <c r="G487" s="6" t="inlineStr">
        <is>
          <t>2025-07-05</t>
        </is>
      </c>
      <c r="H487" s="6" t="inlineStr">
        <is>
          <t>2025-11-07</t>
        </is>
      </c>
      <c r="I487" s="6" t="inlineStr">
        <is>
          <t>Non</t>
        </is>
      </c>
      <c r="J487" s="10" t="n"/>
      <c r="K487" s="10" t="n"/>
      <c r="L487" s="10" t="n"/>
      <c r="M487" s="10" t="n"/>
      <c r="N487" s="10" t="n"/>
      <c r="O487" s="10" t="n"/>
      <c r="P487" s="10" t="n"/>
      <c r="Q487" s="10" t="inlineStr">
        <is>
          <t>⬜ À enrichir</t>
        </is>
      </c>
      <c r="R487" s="10" t="n"/>
    </row>
    <row r="488" hidden="1" ht="15.75" customHeight="1" s="24">
      <c r="A488" s="6" t="n">
        <v>503</v>
      </c>
      <c r="B488" s="6" t="inlineStr">
        <is>
          <t>Ariele</t>
        </is>
      </c>
      <c r="C488" s="6" t="inlineStr">
        <is>
          <t>ZAHER</t>
        </is>
      </c>
      <c r="D488" s="6" t="n">
        <v>2025</v>
      </c>
      <c r="E488" s="6" t="inlineStr">
        <is>
          <t>SC GCC</t>
        </is>
      </c>
      <c r="F488" s="6" t="inlineStr">
        <is>
          <t>Bénévole</t>
        </is>
      </c>
      <c r="G488" s="6" t="inlineStr">
        <is>
          <t>2025-09-15</t>
        </is>
      </c>
      <c r="H488" s="6" t="inlineStr">
        <is>
          <t>2026-04-03</t>
        </is>
      </c>
      <c r="I488" s="6" t="inlineStr">
        <is>
          <t>Non</t>
        </is>
      </c>
      <c r="J488" s="10" t="n"/>
      <c r="K488" s="10" t="n"/>
      <c r="L488" s="10" t="n"/>
      <c r="M488" s="10" t="n"/>
      <c r="N488" s="10" t="n"/>
      <c r="O488" s="10" t="n"/>
      <c r="P488" s="10" t="n"/>
      <c r="Q488" s="10" t="inlineStr">
        <is>
          <t>⬜ À enrichir</t>
        </is>
      </c>
      <c r="R488" s="10" t="n"/>
    </row>
    <row r="489" hidden="1" ht="15.75" customHeight="1" s="24">
      <c r="A489" s="6" t="n">
        <v>507</v>
      </c>
      <c r="B489" s="6" t="inlineStr">
        <is>
          <t>Christelle (Ewa)</t>
        </is>
      </c>
      <c r="C489" s="6" t="inlineStr">
        <is>
          <t>ZOBIEU</t>
        </is>
      </c>
      <c r="D489" s="6" t="n">
        <v>2025</v>
      </c>
      <c r="E489" s="6" t="inlineStr">
        <is>
          <t>Statistiques</t>
        </is>
      </c>
      <c r="F489" s="6" t="inlineStr">
        <is>
          <t>Conventioné</t>
        </is>
      </c>
      <c r="G489" s="6" t="inlineStr">
        <is>
          <t>2025-06-02</t>
        </is>
      </c>
      <c r="H489" s="6" t="inlineStr">
        <is>
          <t>2025-09-05</t>
        </is>
      </c>
      <c r="I489" s="6" t="inlineStr">
        <is>
          <t>Alumni gratuit</t>
        </is>
      </c>
      <c r="J489" s="10" t="n"/>
      <c r="K489" s="10" t="n"/>
      <c r="L489" s="10" t="n"/>
      <c r="M489" s="10" t="n"/>
      <c r="N489" s="10" t="n"/>
      <c r="O489" s="10" t="n"/>
      <c r="P489" s="10" t="n"/>
      <c r="Q489" s="10" t="inlineStr">
        <is>
          <t>⬜ À enrichir</t>
        </is>
      </c>
      <c r="R489" s="10" t="n"/>
    </row>
    <row r="490" hidden="1" ht="15.75" customHeight="1" s="24">
      <c r="A490" s="6" t="n">
        <v>7</v>
      </c>
      <c r="B490" s="6" t="inlineStr">
        <is>
          <t>Saadet</t>
        </is>
      </c>
      <c r="C490" s="6" t="inlineStr">
        <is>
          <t>ACAR</t>
        </is>
      </c>
      <c r="D490" s="6" t="n">
        <v>2026</v>
      </c>
      <c r="E490" s="6" t="inlineStr">
        <is>
          <t>RH</t>
        </is>
      </c>
      <c r="F490" s="6" t="inlineStr">
        <is>
          <t>Bénévole</t>
        </is>
      </c>
      <c r="G490" s="6" t="inlineStr">
        <is>
          <t>2025-12-03</t>
        </is>
      </c>
      <c r="H490" s="6" t="inlineStr">
        <is>
          <t>2026-01-20</t>
        </is>
      </c>
      <c r="I490" s="16" t="inlineStr">
        <is>
          <t>N'a pas rempli le questionnaire</t>
        </is>
      </c>
      <c r="J490" s="10" t="n"/>
      <c r="K490" s="10" t="n"/>
      <c r="L490" s="10" t="n"/>
      <c r="M490" s="10" t="n"/>
      <c r="N490" s="10" t="n"/>
      <c r="O490" s="10" t="n"/>
      <c r="P490" s="10" t="n"/>
      <c r="Q490" s="10" t="inlineStr">
        <is>
          <t>⬜ À enrichir</t>
        </is>
      </c>
      <c r="R490" s="10" t="n"/>
    </row>
    <row r="491" hidden="1" ht="15.75" customHeight="1" s="24">
      <c r="A491" s="6" t="n">
        <v>47</v>
      </c>
      <c r="B491" s="6" t="inlineStr">
        <is>
          <t>Vicente</t>
        </is>
      </c>
      <c r="C491" s="6" t="inlineStr">
        <is>
          <t>Anzellini</t>
        </is>
      </c>
      <c r="D491" s="6" t="n">
        <v>2026</v>
      </c>
      <c r="E491" s="6" t="inlineStr">
        <is>
          <t xml:space="preserve">Collaborateur rédaction </t>
        </is>
      </c>
      <c r="F491" s="6" t="inlineStr">
        <is>
          <t>Bénévole</t>
        </is>
      </c>
      <c r="G491" s="6" t="inlineStr">
        <is>
          <t>2026-09-02</t>
        </is>
      </c>
      <c r="H491" s="6" t="inlineStr">
        <is>
          <t>2026-03-23</t>
        </is>
      </c>
      <c r="I491" s="6" t="inlineStr">
        <is>
          <t>Non</t>
        </is>
      </c>
      <c r="J491" s="10" t="n"/>
      <c r="K491" s="10" t="n"/>
      <c r="L491" s="10" t="n"/>
      <c r="M491" s="10" t="n"/>
      <c r="N491" s="10" t="n"/>
      <c r="O491" s="10" t="n"/>
      <c r="P491" s="10" t="n"/>
      <c r="Q491" s="10" t="inlineStr">
        <is>
          <t>⬜ À enrichir</t>
        </is>
      </c>
      <c r="R491" s="10" t="n"/>
    </row>
    <row r="492" hidden="1" ht="15.75" customHeight="1" s="24">
      <c r="A492" s="6" t="n">
        <v>76</v>
      </c>
      <c r="B492" s="6" t="inlineStr">
        <is>
          <t>Heloise</t>
        </is>
      </c>
      <c r="C492" s="6" t="inlineStr">
        <is>
          <t>BIDEAU</t>
        </is>
      </c>
      <c r="D492" s="6" t="n">
        <v>2026</v>
      </c>
      <c r="E492" s="6" t="inlineStr">
        <is>
          <t>Designer UX/UI</t>
        </is>
      </c>
      <c r="F492" s="6" t="inlineStr">
        <is>
          <t>Bénévole</t>
        </is>
      </c>
      <c r="G492" s="6" t="inlineStr">
        <is>
          <t>2025-09-04</t>
        </is>
      </c>
      <c r="H492" s="6" t="inlineStr">
        <is>
          <t>2026-02-20</t>
        </is>
      </c>
      <c r="I492" s="6" t="inlineStr">
        <is>
          <t>Non</t>
        </is>
      </c>
      <c r="J492" s="10" t="n"/>
      <c r="K492" s="10" t="n"/>
      <c r="L492" s="10" t="n"/>
      <c r="M492" s="10" t="n"/>
      <c r="N492" s="10" t="n"/>
      <c r="O492" s="10" t="n"/>
      <c r="P492" s="10" t="n"/>
      <c r="Q492" s="10" t="inlineStr">
        <is>
          <t>⬜ À enrichir</t>
        </is>
      </c>
      <c r="R492" s="10" t="n"/>
    </row>
    <row r="493" hidden="1" ht="15.75" customHeight="1" s="24">
      <c r="A493" s="6" t="n">
        <v>106</v>
      </c>
      <c r="B493" s="6" t="inlineStr">
        <is>
          <t>Claire</t>
        </is>
      </c>
      <c r="C493" s="6" t="inlineStr">
        <is>
          <t>CHAPEAU</t>
        </is>
      </c>
      <c r="D493" s="6" t="n">
        <v>2026</v>
      </c>
      <c r="E493" s="6" t="inlineStr">
        <is>
          <t>Assistante RH</t>
        </is>
      </c>
      <c r="F493" s="6" t="inlineStr">
        <is>
          <t>Bénévole</t>
        </is>
      </c>
      <c r="G493" s="6" t="inlineStr">
        <is>
          <t>2025-07-09</t>
        </is>
      </c>
      <c r="H493" s="6" t="inlineStr">
        <is>
          <t>2026-02-27</t>
        </is>
      </c>
      <c r="I493" s="6" t="inlineStr">
        <is>
          <t>Non</t>
        </is>
      </c>
      <c r="J493" s="10" t="n"/>
      <c r="K493" s="10" t="n"/>
      <c r="L493" s="10" t="n"/>
      <c r="M493" s="10" t="n"/>
      <c r="N493" s="10" t="n"/>
      <c r="O493" s="10" t="n"/>
      <c r="P493" s="10" t="n"/>
      <c r="Q493" s="10" t="inlineStr">
        <is>
          <t>⬜ À enrichir</t>
        </is>
      </c>
      <c r="R493" s="10" t="n"/>
    </row>
    <row r="494" hidden="1" ht="15.75" customHeight="1" s="24">
      <c r="A494" s="6" t="n">
        <v>122</v>
      </c>
      <c r="B494" s="6" t="inlineStr">
        <is>
          <t>Solène</t>
        </is>
      </c>
      <c r="C494" s="6" t="inlineStr">
        <is>
          <t>D'AREXY</t>
        </is>
      </c>
      <c r="D494" s="6" t="n">
        <v>2026</v>
      </c>
      <c r="E494" s="6" t="inlineStr">
        <is>
          <t>Juriste</t>
        </is>
      </c>
      <c r="F494" s="6" t="inlineStr">
        <is>
          <t>Bénévole</t>
        </is>
      </c>
      <c r="G494" s="6" t="inlineStr">
        <is>
          <t>2025-11-24</t>
        </is>
      </c>
      <c r="H494" s="6" t="inlineStr">
        <is>
          <t>2026-02-13</t>
        </is>
      </c>
      <c r="I494" s="6" t="inlineStr">
        <is>
          <t>Non</t>
        </is>
      </c>
      <c r="J494" s="10" t="n"/>
      <c r="K494" s="10" t="n"/>
      <c r="L494" s="10" t="n"/>
      <c r="M494" s="10" t="n"/>
      <c r="N494" s="10" t="n"/>
      <c r="O494" s="10" t="n"/>
      <c r="P494" s="10" t="n"/>
      <c r="Q494" s="10" t="inlineStr">
        <is>
          <t>⬜ À enrichir</t>
        </is>
      </c>
      <c r="R494" s="10" t="n"/>
    </row>
    <row r="495" hidden="1" ht="15.75" customHeight="1" s="24">
      <c r="A495" s="6" t="n">
        <v>123</v>
      </c>
      <c r="B495" s="6" t="inlineStr">
        <is>
          <t>Laetitia</t>
        </is>
      </c>
      <c r="C495" s="6" t="inlineStr">
        <is>
          <t>DAGHER</t>
        </is>
      </c>
      <c r="D495" s="6" t="n">
        <v>2026</v>
      </c>
      <c r="E495" s="6" t="inlineStr">
        <is>
          <t>Chargée de projet formation</t>
        </is>
      </c>
      <c r="F495" s="6" t="inlineStr">
        <is>
          <t>Bénévole</t>
        </is>
      </c>
      <c r="G495" s="6" t="inlineStr">
        <is>
          <t>2025-11-24</t>
        </is>
      </c>
      <c r="H495" s="6" t="inlineStr">
        <is>
          <t>2026-02-13</t>
        </is>
      </c>
      <c r="I495" s="16" t="inlineStr">
        <is>
          <t>N'a pas rempli le questionnaire</t>
        </is>
      </c>
      <c r="J495" s="10" t="n"/>
      <c r="K495" s="10" t="n"/>
      <c r="L495" s="10" t="n"/>
      <c r="M495" s="10" t="n"/>
      <c r="N495" s="10" t="n"/>
      <c r="O495" s="10" t="n"/>
      <c r="P495" s="10" t="n"/>
      <c r="Q495" s="10" t="inlineStr">
        <is>
          <t>⬜ À enrichir</t>
        </is>
      </c>
      <c r="R495" s="10" t="n"/>
    </row>
    <row r="496" hidden="1" ht="15.75" customHeight="1" s="24">
      <c r="A496" s="6" t="n">
        <v>136</v>
      </c>
      <c r="B496" s="6" t="inlineStr">
        <is>
          <t>Jennifer</t>
        </is>
      </c>
      <c r="C496" s="6" t="inlineStr">
        <is>
          <t>DELOUYA</t>
        </is>
      </c>
      <c r="D496" s="6" t="n">
        <v>2026</v>
      </c>
      <c r="E496" s="6" t="inlineStr">
        <is>
          <t>Jobcoach</t>
        </is>
      </c>
      <c r="F496" s="6" t="inlineStr">
        <is>
          <t>Bénévole</t>
        </is>
      </c>
      <c r="G496" s="6" t="inlineStr">
        <is>
          <t>2025-09-03</t>
        </is>
      </c>
      <c r="H496" s="6" t="inlineStr">
        <is>
          <t>2026-02-06</t>
        </is>
      </c>
      <c r="I496" s="16" t="inlineStr">
        <is>
          <t>N'a pas rempli le questionnaire</t>
        </is>
      </c>
      <c r="J496" s="10" t="n"/>
      <c r="K496" s="10" t="n"/>
      <c r="L496" s="10" t="n"/>
      <c r="M496" s="10" t="n"/>
      <c r="N496" s="10" t="n"/>
      <c r="O496" s="10" t="n"/>
      <c r="P496" s="10" t="n"/>
      <c r="Q496" s="10" t="inlineStr">
        <is>
          <t>⬜ À enrichir</t>
        </is>
      </c>
      <c r="R496" s="10" t="n"/>
    </row>
    <row r="497" hidden="1" ht="15.75" customHeight="1" s="24">
      <c r="A497" s="6" t="n">
        <v>174</v>
      </c>
      <c r="B497" s="6" t="inlineStr">
        <is>
          <t>Caroline</t>
        </is>
      </c>
      <c r="C497" s="6" t="inlineStr">
        <is>
          <t>ETIENNE</t>
        </is>
      </c>
      <c r="D497" s="6" t="n">
        <v>2026</v>
      </c>
      <c r="E497" s="6" t="inlineStr">
        <is>
          <t>Jobcoach</t>
        </is>
      </c>
      <c r="F497" s="6" t="inlineStr">
        <is>
          <t>Bénévole</t>
        </is>
      </c>
      <c r="G497" s="6" t="inlineStr">
        <is>
          <t>2025-12-10</t>
        </is>
      </c>
      <c r="H497" s="6" t="inlineStr">
        <is>
          <t>2026-02-06</t>
        </is>
      </c>
      <c r="I497" s="16" t="inlineStr">
        <is>
          <t>N'a pas rempli le questionnaire</t>
        </is>
      </c>
      <c r="J497" s="10" t="n"/>
      <c r="K497" s="10" t="n"/>
      <c r="L497" s="10" t="n"/>
      <c r="M497" s="10" t="n"/>
      <c r="N497" s="10" t="n"/>
      <c r="O497" s="10" t="n"/>
      <c r="P497" s="10" t="n"/>
      <c r="Q497" s="10" t="inlineStr">
        <is>
          <t>⬜ À enrichir</t>
        </is>
      </c>
      <c r="R497" s="10" t="n"/>
    </row>
    <row r="498" hidden="1" ht="15.75" customHeight="1" s="24">
      <c r="A498" s="6" t="n">
        <v>213</v>
      </c>
      <c r="B498" s="6" t="inlineStr">
        <is>
          <t>Ousmane</t>
        </is>
      </c>
      <c r="C498" s="6" t="inlineStr">
        <is>
          <t>GUINDO</t>
        </is>
      </c>
      <c r="D498" s="6" t="n">
        <v>2026</v>
      </c>
      <c r="E498" s="6" t="inlineStr">
        <is>
          <t>Agronome</t>
        </is>
      </c>
      <c r="F498" s="6" t="inlineStr">
        <is>
          <t>Bénévole</t>
        </is>
      </c>
      <c r="G498" s="6" t="inlineStr">
        <is>
          <t>2025-12-02</t>
        </is>
      </c>
      <c r="H498" s="6" t="inlineStr">
        <is>
          <t>2026-02-12</t>
        </is>
      </c>
      <c r="I498" s="16" t="inlineStr">
        <is>
          <t>N'a pas rempli le questionnaire</t>
        </is>
      </c>
      <c r="J498" s="10" t="n"/>
      <c r="K498" s="10" t="n"/>
      <c r="L498" s="10" t="n"/>
      <c r="M498" s="10" t="n"/>
      <c r="N498" s="10" t="n"/>
      <c r="O498" s="10" t="n"/>
      <c r="P498" s="10" t="n"/>
      <c r="Q498" s="10" t="inlineStr">
        <is>
          <t>⬜ À enrichir</t>
        </is>
      </c>
      <c r="R498" s="10" t="n"/>
    </row>
    <row r="499" hidden="1" ht="15.75" customHeight="1" s="24">
      <c r="A499" s="6" t="n">
        <v>222</v>
      </c>
      <c r="B499" s="6" t="inlineStr">
        <is>
          <t>Sana</t>
        </is>
      </c>
      <c r="C499" s="6" t="inlineStr">
        <is>
          <t>HAFSA</t>
        </is>
      </c>
      <c r="D499" s="6" t="n">
        <v>2026</v>
      </c>
      <c r="E499" s="6" t="inlineStr">
        <is>
          <t>Personnelle coach</t>
        </is>
      </c>
      <c r="F499" s="6" t="inlineStr">
        <is>
          <t>Bénévole</t>
        </is>
      </c>
      <c r="G499" s="6" t="inlineStr">
        <is>
          <t>2025-10-29</t>
        </is>
      </c>
      <c r="H499" s="6" t="inlineStr">
        <is>
          <t>2026-01-20</t>
        </is>
      </c>
      <c r="I499" s="6" t="inlineStr">
        <is>
          <t>Alumni gratuit</t>
        </is>
      </c>
      <c r="J499" s="10" t="n"/>
      <c r="K499" s="10" t="n"/>
      <c r="L499" s="10" t="n"/>
      <c r="M499" s="10" t="n"/>
      <c r="N499" s="10" t="n"/>
      <c r="O499" s="10" t="n"/>
      <c r="P499" s="10" t="n"/>
      <c r="Q499" s="10" t="inlineStr">
        <is>
          <t>⬜ À enrichir</t>
        </is>
      </c>
      <c r="R499" s="10" t="n"/>
    </row>
    <row r="500" hidden="1" ht="15.75" customHeight="1" s="24">
      <c r="A500" s="6" t="n">
        <v>240</v>
      </c>
      <c r="B500" s="6" t="inlineStr">
        <is>
          <t>Celine</t>
        </is>
      </c>
      <c r="C500" s="6" t="inlineStr">
        <is>
          <t>JACCARD</t>
        </is>
      </c>
      <c r="D500" s="6" t="n">
        <v>2026</v>
      </c>
      <c r="E500" s="6" t="inlineStr">
        <is>
          <t xml:space="preserve">Conseillère en formation pôle formation rh </t>
        </is>
      </c>
      <c r="F500" s="6" t="inlineStr">
        <is>
          <t>Bénévole</t>
        </is>
      </c>
      <c r="G500" s="6" t="inlineStr">
        <is>
          <t>2026-03-04</t>
        </is>
      </c>
      <c r="H500" s="6" t="inlineStr">
        <is>
          <t>2026-03-16</t>
        </is>
      </c>
      <c r="I500" s="16" t="inlineStr">
        <is>
          <t>N'a pas rempli le questionnaire</t>
        </is>
      </c>
      <c r="J500" s="10" t="n"/>
      <c r="K500" s="10" t="n"/>
      <c r="L500" s="10" t="n"/>
      <c r="M500" s="10" t="n"/>
      <c r="N500" s="10" t="n"/>
      <c r="O500" s="10" t="n"/>
      <c r="P500" s="10" t="n"/>
      <c r="Q500" s="10" t="inlineStr">
        <is>
          <t>⬜ À enrichir</t>
        </is>
      </c>
      <c r="R500" s="10" t="n"/>
    </row>
    <row r="501" hidden="1" ht="15.75" customHeight="1" s="24">
      <c r="A501" s="6" t="n">
        <v>269</v>
      </c>
      <c r="B501" s="6" t="inlineStr">
        <is>
          <t>Elhame</t>
        </is>
      </c>
      <c r="C501" s="6" t="inlineStr">
        <is>
          <t>Krasniqi</t>
        </is>
      </c>
      <c r="D501" s="6" t="n">
        <v>2026</v>
      </c>
      <c r="E501" s="6" t="inlineStr">
        <is>
          <t>RH</t>
        </is>
      </c>
      <c r="F501" s="6" t="inlineStr">
        <is>
          <t>Bénévole</t>
        </is>
      </c>
      <c r="G501" s="6" t="inlineStr">
        <is>
          <t>2025-12-10</t>
        </is>
      </c>
      <c r="H501" s="6" t="inlineStr">
        <is>
          <t>2026-01-19</t>
        </is>
      </c>
      <c r="I501" s="6" t="inlineStr">
        <is>
          <t>Alumni gratuit</t>
        </is>
      </c>
      <c r="J501" s="10" t="n"/>
      <c r="K501" s="10" t="n"/>
      <c r="L501" s="10" t="n"/>
      <c r="M501" s="10" t="n"/>
      <c r="N501" s="10" t="n"/>
      <c r="O501" s="10" t="n"/>
      <c r="P501" s="10" t="n"/>
      <c r="Q501" s="10" t="inlineStr">
        <is>
          <t>⬜ À enrichir</t>
        </is>
      </c>
      <c r="R501" s="10" t="n"/>
    </row>
    <row r="502" hidden="1" ht="15.75" customHeight="1" s="24">
      <c r="A502" s="6" t="n">
        <v>279</v>
      </c>
      <c r="B502" s="6" t="inlineStr">
        <is>
          <t>Xavier</t>
        </is>
      </c>
      <c r="C502" s="6" t="inlineStr">
        <is>
          <t>LAMONTAGNE</t>
        </is>
      </c>
      <c r="D502" s="6" t="n">
        <v>2026</v>
      </c>
      <c r="E502" s="6" t="inlineStr">
        <is>
          <t>Coordinateur Chargé de projet SIB</t>
        </is>
      </c>
      <c r="F502" s="6" t="inlineStr">
        <is>
          <t>Bénévole</t>
        </is>
      </c>
      <c r="G502" s="6" t="inlineStr">
        <is>
          <t>2026-02-02</t>
        </is>
      </c>
      <c r="H502" s="6" t="inlineStr">
        <is>
          <t>2026-02-23</t>
        </is>
      </c>
      <c r="I502" s="16" t="inlineStr">
        <is>
          <t>N'a pas rempli le questionnaire</t>
        </is>
      </c>
      <c r="J502" s="10" t="n"/>
      <c r="K502" s="10" t="n"/>
      <c r="L502" s="10" t="n"/>
      <c r="M502" s="10" t="n"/>
      <c r="N502" s="10" t="n"/>
      <c r="O502" s="10" t="n"/>
      <c r="P502" s="10" t="n"/>
      <c r="Q502" s="10" t="inlineStr">
        <is>
          <t>⬜ À enrichir</t>
        </is>
      </c>
      <c r="R502" s="10" t="n"/>
    </row>
    <row r="503" hidden="1" ht="15.75" customHeight="1" s="24">
      <c r="A503" s="6" t="n">
        <v>304</v>
      </c>
      <c r="B503" s="6" t="inlineStr">
        <is>
          <t>Jonathan</t>
        </is>
      </c>
      <c r="C503" s="6" t="inlineStr">
        <is>
          <t>Luwanga</t>
        </is>
      </c>
      <c r="D503" s="6" t="n">
        <v>2026</v>
      </c>
      <c r="E503" s="6" t="inlineStr">
        <is>
          <t>Analyste financier</t>
        </is>
      </c>
      <c r="F503" s="6" t="inlineStr">
        <is>
          <t>Bénévole</t>
        </is>
      </c>
      <c r="G503" s="6" t="inlineStr">
        <is>
          <t>2025-11-17</t>
        </is>
      </c>
      <c r="H503" s="6" t="inlineStr">
        <is>
          <t>2026-02-16</t>
        </is>
      </c>
      <c r="I503" s="6" t="inlineStr">
        <is>
          <t>Non</t>
        </is>
      </c>
      <c r="J503" s="10" t="n"/>
      <c r="K503" s="10" t="n"/>
      <c r="L503" s="10" t="n"/>
      <c r="M503" s="10" t="n"/>
      <c r="N503" s="10" t="n"/>
      <c r="O503" s="10" t="n"/>
      <c r="P503" s="10" t="n"/>
      <c r="Q503" s="10" t="inlineStr">
        <is>
          <t>⬜ À enrichir</t>
        </is>
      </c>
      <c r="R503" s="10" t="n"/>
    </row>
    <row r="504" hidden="1" ht="15.75" customHeight="1" s="24">
      <c r="A504" s="6" t="n">
        <v>328</v>
      </c>
      <c r="B504" s="6" t="inlineStr">
        <is>
          <t>Vahiné</t>
        </is>
      </c>
      <c r="C504" s="6" t="inlineStr">
        <is>
          <t>MENDES</t>
        </is>
      </c>
      <c r="D504" s="6" t="n">
        <v>2026</v>
      </c>
      <c r="E504" s="6" t="inlineStr">
        <is>
          <t>RH</t>
        </is>
      </c>
      <c r="F504" s="6" t="inlineStr">
        <is>
          <t>Bénévole</t>
        </is>
      </c>
      <c r="G504" s="6" t="inlineStr">
        <is>
          <t>2025-07-02</t>
        </is>
      </c>
      <c r="H504" s="6" t="inlineStr">
        <is>
          <t>2026-01-23</t>
        </is>
      </c>
      <c r="I504" s="6" t="inlineStr">
        <is>
          <t>Alumni gratuit</t>
        </is>
      </c>
      <c r="J504" s="10" t="n"/>
      <c r="K504" s="10" t="n"/>
      <c r="L504" s="10" t="n"/>
      <c r="M504" s="10" t="n"/>
      <c r="N504" s="10" t="n"/>
      <c r="O504" s="10" t="n"/>
      <c r="P504" s="10" t="n"/>
      <c r="Q504" s="10" t="inlineStr">
        <is>
          <t>⬜ À enrichir</t>
        </is>
      </c>
      <c r="R504" s="10" t="n"/>
    </row>
    <row r="505" hidden="1" ht="15.75" customHeight="1" s="24">
      <c r="A505" s="6" t="n">
        <v>329</v>
      </c>
      <c r="B505" s="6" t="inlineStr">
        <is>
          <t>Vahiné</t>
        </is>
      </c>
      <c r="C505" s="6" t="inlineStr">
        <is>
          <t>MENDES GOMES</t>
        </is>
      </c>
      <c r="D505" s="6" t="n">
        <v>2026</v>
      </c>
      <c r="E505" s="6" t="n"/>
      <c r="F505" s="6" t="inlineStr">
        <is>
          <t>Bénévole</t>
        </is>
      </c>
      <c r="G505" s="6" t="inlineStr">
        <is>
          <t>2025-07-02</t>
        </is>
      </c>
      <c r="H505" s="6" t="inlineStr">
        <is>
          <t>2026-01-23</t>
        </is>
      </c>
      <c r="I505" s="6" t="inlineStr">
        <is>
          <t>Alumni gratuit</t>
        </is>
      </c>
      <c r="J505" s="10" t="n"/>
      <c r="K505" s="10" t="n"/>
      <c r="L505" s="10" t="n"/>
      <c r="M505" s="10" t="n"/>
      <c r="N505" s="10" t="n"/>
      <c r="O505" s="10" t="n"/>
      <c r="P505" s="10" t="n"/>
      <c r="Q505" s="10" t="inlineStr">
        <is>
          <t>⬜ À enrichir</t>
        </is>
      </c>
      <c r="R505" s="10" t="n"/>
    </row>
    <row r="506" hidden="1" ht="15.75" customHeight="1" s="24">
      <c r="A506" s="6" t="n">
        <v>336</v>
      </c>
      <c r="B506" s="6" t="inlineStr">
        <is>
          <t>Thomas</t>
        </is>
      </c>
      <c r="C506" s="6" t="inlineStr">
        <is>
          <t>MESSINA</t>
        </is>
      </c>
      <c r="D506" s="6" t="n">
        <v>2026</v>
      </c>
      <c r="E506" s="6" t="inlineStr">
        <is>
          <t>Data scientist</t>
        </is>
      </c>
      <c r="F506" s="6" t="inlineStr">
        <is>
          <t>Bénévole</t>
        </is>
      </c>
      <c r="G506" s="6" t="inlineStr">
        <is>
          <t>2025-10-13</t>
        </is>
      </c>
      <c r="H506" s="6" t="inlineStr">
        <is>
          <t>2026-02-06</t>
        </is>
      </c>
      <c r="I506" s="6" t="inlineStr">
        <is>
          <t>Non</t>
        </is>
      </c>
      <c r="J506" s="10" t="n"/>
      <c r="K506" s="10" t="n"/>
      <c r="L506" s="10" t="n"/>
      <c r="M506" s="10" t="n"/>
      <c r="N506" s="10" t="n"/>
      <c r="O506" s="10" t="n"/>
      <c r="P506" s="10" t="n"/>
      <c r="Q506" s="10" t="inlineStr">
        <is>
          <t>⬜ À enrichir</t>
        </is>
      </c>
      <c r="R506" s="10" t="n"/>
    </row>
    <row r="507" hidden="1" ht="15.75" customHeight="1" s="24">
      <c r="A507" s="6" t="n">
        <v>384</v>
      </c>
      <c r="B507" s="6" t="inlineStr">
        <is>
          <t>Aleksandra</t>
        </is>
      </c>
      <c r="C507" s="6" t="inlineStr">
        <is>
          <t>Niezgoda</t>
        </is>
      </c>
      <c r="D507" s="6" t="n">
        <v>2026</v>
      </c>
      <c r="E507" s="6" t="inlineStr">
        <is>
          <t>Chargée de projet RV</t>
        </is>
      </c>
      <c r="F507" s="6" t="inlineStr">
        <is>
          <t>Bénévole</t>
        </is>
      </c>
      <c r="G507" s="6" t="inlineStr">
        <is>
          <t>2026-01-26</t>
        </is>
      </c>
      <c r="H507" s="6" t="inlineStr">
        <is>
          <t>2026-03-13</t>
        </is>
      </c>
      <c r="I507" s="16" t="inlineStr">
        <is>
          <t>N'a pas rempli le questionnaire</t>
        </is>
      </c>
      <c r="J507" s="10" t="n"/>
      <c r="K507" s="10" t="n"/>
      <c r="L507" s="10" t="n"/>
      <c r="M507" s="10" t="n"/>
      <c r="N507" s="10" t="n"/>
      <c r="O507" s="10" t="n"/>
      <c r="P507" s="10" t="n"/>
      <c r="Q507" s="10" t="inlineStr">
        <is>
          <t>⬜ À enrichir</t>
        </is>
      </c>
      <c r="R507" s="10" t="n"/>
    </row>
    <row r="508" hidden="1" ht="15.75" customHeight="1" s="24">
      <c r="A508" s="6" t="n">
        <v>420</v>
      </c>
      <c r="B508" s="6" t="inlineStr">
        <is>
          <t>Michelle</t>
        </is>
      </c>
      <c r="C508" s="6" t="inlineStr">
        <is>
          <t>RE</t>
        </is>
      </c>
      <c r="D508" s="6" t="n">
        <v>2026</v>
      </c>
      <c r="E508" s="6" t="inlineStr">
        <is>
          <t>Jobcoach</t>
        </is>
      </c>
      <c r="F508" s="6" t="inlineStr">
        <is>
          <t>Bénévole</t>
        </is>
      </c>
      <c r="G508" s="6" t="inlineStr">
        <is>
          <t>2026-01-28</t>
        </is>
      </c>
      <c r="H508" s="6" t="inlineStr">
        <is>
          <t>2026-01-29</t>
        </is>
      </c>
      <c r="I508" s="16" t="inlineStr">
        <is>
          <t>N'a pas rempli le questionnaire</t>
        </is>
      </c>
      <c r="J508" s="10" t="n"/>
      <c r="K508" s="10" t="n"/>
      <c r="L508" s="10" t="n"/>
      <c r="M508" s="10" t="n"/>
      <c r="N508" s="10" t="n"/>
      <c r="O508" s="10" t="n"/>
      <c r="P508" s="10" t="n"/>
      <c r="Q508" s="10" t="inlineStr">
        <is>
          <t>⬜ À enrichir</t>
        </is>
      </c>
      <c r="R508" s="10" t="n"/>
    </row>
    <row r="509" hidden="1" ht="15.75" customHeight="1" s="24">
      <c r="A509" s="6" t="n">
        <v>441</v>
      </c>
      <c r="B509" s="6" t="inlineStr">
        <is>
          <t>Fatima</t>
        </is>
      </c>
      <c r="C509" s="6" t="inlineStr">
        <is>
          <t>SARR</t>
        </is>
      </c>
      <c r="D509" s="6" t="n">
        <v>2026</v>
      </c>
      <c r="E509" s="6" t="inlineStr">
        <is>
          <t>RH</t>
        </is>
      </c>
      <c r="F509" s="6" t="inlineStr">
        <is>
          <t>Bénévole</t>
        </is>
      </c>
      <c r="G509" s="6" t="inlineStr">
        <is>
          <t>2026-02-10</t>
        </is>
      </c>
      <c r="H509" s="6" t="inlineStr">
        <is>
          <t>2026-03-15</t>
        </is>
      </c>
      <c r="I509" s="16" t="inlineStr">
        <is>
          <t>N'a pas rempli le questionnaire</t>
        </is>
      </c>
      <c r="J509" s="10" t="n"/>
      <c r="K509" s="10" t="n"/>
      <c r="L509" s="10" t="n"/>
      <c r="M509" s="10" t="n"/>
      <c r="N509" s="10" t="n"/>
      <c r="O509" s="10" t="n"/>
      <c r="P509" s="10" t="n"/>
      <c r="Q509" s="10" t="inlineStr">
        <is>
          <t>⬜ À enrichir</t>
        </is>
      </c>
      <c r="R509" s="10" t="n"/>
    </row>
    <row r="510" hidden="1" ht="15.75" customHeight="1" s="24">
      <c r="A510" s="6" t="n">
        <v>461</v>
      </c>
      <c r="B510" s="6" t="inlineStr">
        <is>
          <t>Christelle</t>
        </is>
      </c>
      <c r="C510" s="6" t="inlineStr">
        <is>
          <t>Sachot</t>
        </is>
      </c>
      <c r="D510" s="6" t="n">
        <v>2026</v>
      </c>
      <c r="E510" s="6" t="inlineStr">
        <is>
          <t>Coach</t>
        </is>
      </c>
      <c r="F510" s="6" t="inlineStr">
        <is>
          <t>Bénévole</t>
        </is>
      </c>
      <c r="G510" s="6" t="inlineStr">
        <is>
          <t>2025-12-16</t>
        </is>
      </c>
      <c r="H510" s="6" t="inlineStr">
        <is>
          <t>2026-03-27</t>
        </is>
      </c>
      <c r="I510" s="6" t="inlineStr">
        <is>
          <t>Alumni gratuit</t>
        </is>
      </c>
      <c r="J510" s="10" t="n"/>
      <c r="K510" s="10" t="n"/>
      <c r="L510" s="10" t="n"/>
      <c r="M510" s="10" t="n"/>
      <c r="N510" s="10" t="n"/>
      <c r="O510" s="10" t="n"/>
      <c r="P510" s="10" t="n"/>
      <c r="Q510" s="10" t="inlineStr">
        <is>
          <t>⬜ À enrichir</t>
        </is>
      </c>
      <c r="R510" s="10" t="n"/>
    </row>
    <row r="511" hidden="1" ht="15.75" customHeight="1" s="24">
      <c r="A511" s="6" t="n">
        <v>494</v>
      </c>
      <c r="B511" s="6" t="inlineStr">
        <is>
          <t>Messie</t>
        </is>
      </c>
      <c r="C511" s="6" t="inlineStr">
        <is>
          <t>WANGANA</t>
        </is>
      </c>
      <c r="D511" s="6" t="n">
        <v>2026</v>
      </c>
      <c r="E511" s="6" t="inlineStr">
        <is>
          <t>Juriste</t>
        </is>
      </c>
      <c r="F511" s="6" t="inlineStr">
        <is>
          <t>Bénévole</t>
        </is>
      </c>
      <c r="G511" s="6" t="inlineStr">
        <is>
          <t>2026-01-19</t>
        </is>
      </c>
      <c r="H511" s="6" t="inlineStr">
        <is>
          <t>2026-03-13</t>
        </is>
      </c>
      <c r="I511" s="6" t="inlineStr">
        <is>
          <t>Non</t>
        </is>
      </c>
      <c r="J511" s="10" t="n"/>
      <c r="K511" s="10" t="n"/>
      <c r="L511" s="10" t="n"/>
      <c r="M511" s="10" t="n"/>
      <c r="N511" s="10" t="n"/>
      <c r="O511" s="10" t="n"/>
      <c r="P511" s="10" t="n"/>
      <c r="Q511" s="10" t="inlineStr">
        <is>
          <t>⬜ À enrichir</t>
        </is>
      </c>
      <c r="R511" s="10" t="n"/>
    </row>
    <row r="512" hidden="1" ht="15.75" customHeight="1" s="24">
      <c r="A512" s="6" t="n">
        <v>506</v>
      </c>
      <c r="B512" s="6" t="inlineStr">
        <is>
          <t>Akram</t>
        </is>
      </c>
      <c r="C512" s="6" t="inlineStr">
        <is>
          <t>ZARKANE</t>
        </is>
      </c>
      <c r="D512" s="6" t="n">
        <v>2026</v>
      </c>
      <c r="E512" s="6" t="inlineStr">
        <is>
          <t>Analyste financier</t>
        </is>
      </c>
      <c r="F512" s="6" t="inlineStr">
        <is>
          <t>Bénévole</t>
        </is>
      </c>
      <c r="G512" s="6" t="inlineStr">
        <is>
          <t>2026-02-10</t>
        </is>
      </c>
      <c r="H512" s="6" t="inlineStr">
        <is>
          <t>2026-02-23</t>
        </is>
      </c>
      <c r="I512" s="6" t="inlineStr">
        <is>
          <t>Non</t>
        </is>
      </c>
      <c r="J512" s="10" t="n"/>
      <c r="K512" s="10" t="n"/>
      <c r="L512" s="10" t="n"/>
      <c r="M512" s="10" t="n"/>
      <c r="N512" s="10" t="n"/>
      <c r="O512" s="10" t="n"/>
      <c r="P512" s="10" t="n"/>
      <c r="Q512" s="10" t="inlineStr">
        <is>
          <t>⬜ À enrichir</t>
        </is>
      </c>
      <c r="R512" s="10" t="n"/>
    </row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  <row r="998" ht="15.75" customHeight="1" s="24"/>
    <row r="999" ht="15.75" customHeight="1" s="24"/>
    <row r="1000" ht="15.75" customHeight="1" s="24"/>
  </sheetData>
  <autoFilter ref="$A$2:$R$512">
    <filterColumn colId="3" hiddenButton="0" showButton="1">
      <filters>
        <filter val="2024"/>
      </filters>
    </filterColumn>
    <sortState ref="A2:R512">
      <sortCondition ref="D2:D512"/>
    </sortState>
  </autoFilter>
  <mergeCells count="1">
    <mergeCell ref="A1:R1"/>
  </mergeCells>
  <dataValidations count="3">
    <dataValidation sqref="N3:N512" showDropDown="0" showInputMessage="0" showErrorMessage="0" allowBlank="1" type="list">
      <formula1>"Suisse,France,Allemagne,Belgique,Italie,Royaume-Uni,Espagne,Portugal,États-Unis,Canada,Brésil,Kenya,Sénégal,Maroc,Tunisie,Côte d'Ivoire,Burkina Faso,Algérie,Autre"</formula1>
    </dataValidation>
    <dataValidation sqref="O3:O512" showDropDown="0" showInputMessage="0" showErrorMessage="0" allowBlank="1" type="list">
      <formula1>"Environnement / Climat,Finance durable / ESG,Conseil / Audit,Éducation / Recherche,ONG / Associatif,Secteur public,Entreprise privée,Tech / Data,Santé,Culture / Média,Autre"</formula1>
    </dataValidation>
    <dataValidation sqref="Q3:Q512" showDropDown="0" showInputMessage="0" showErrorMessage="0" allowBlank="1" type="list">
      <formula1>"⬜ À enrichir,🔍 En cours,✅ Enrichi,❌ Introuvable sur LinkedIn,🟡 Profil privé"</formula1>
    </dataValidation>
  </dataValidations>
  <hyperlinks>
    <hyperlink xmlns:r="http://schemas.openxmlformats.org/officeDocument/2006/relationships" ref="P207" r:id="rId1"/>
    <hyperlink xmlns:r="http://schemas.openxmlformats.org/officeDocument/2006/relationships" ref="P208" r:id="rId2"/>
    <hyperlink xmlns:r="http://schemas.openxmlformats.org/officeDocument/2006/relationships" ref="P209" r:id="rId3"/>
    <hyperlink xmlns:r="http://schemas.openxmlformats.org/officeDocument/2006/relationships" ref="P211" r:id="rId4"/>
    <hyperlink xmlns:r="http://schemas.openxmlformats.org/officeDocument/2006/relationships" ref="P212" r:id="rId5"/>
    <hyperlink xmlns:r="http://schemas.openxmlformats.org/officeDocument/2006/relationships" ref="P213" r:id="rId6"/>
    <hyperlink xmlns:r="http://schemas.openxmlformats.org/officeDocument/2006/relationships" ref="P214" r:id="rId7"/>
    <hyperlink xmlns:r="http://schemas.openxmlformats.org/officeDocument/2006/relationships" ref="P215" r:id="rId8"/>
    <hyperlink xmlns:r="http://schemas.openxmlformats.org/officeDocument/2006/relationships" ref="P216" r:id="rId9"/>
    <hyperlink xmlns:r="http://schemas.openxmlformats.org/officeDocument/2006/relationships" ref="P217" r:id="rId10"/>
    <hyperlink xmlns:r="http://schemas.openxmlformats.org/officeDocument/2006/relationships" ref="P218" r:id="rId11"/>
    <hyperlink xmlns:r="http://schemas.openxmlformats.org/officeDocument/2006/relationships" ref="P220" r:id="rId12"/>
    <hyperlink xmlns:r="http://schemas.openxmlformats.org/officeDocument/2006/relationships" ref="P221" r:id="rId13"/>
    <hyperlink xmlns:r="http://schemas.openxmlformats.org/officeDocument/2006/relationships" ref="P222" r:id="rId14"/>
    <hyperlink xmlns:r="http://schemas.openxmlformats.org/officeDocument/2006/relationships" ref="P223" r:id="rId15"/>
    <hyperlink xmlns:r="http://schemas.openxmlformats.org/officeDocument/2006/relationships" ref="P227" r:id="rId16"/>
    <hyperlink xmlns:r="http://schemas.openxmlformats.org/officeDocument/2006/relationships" ref="P229" r:id="rId17"/>
    <hyperlink xmlns:r="http://schemas.openxmlformats.org/officeDocument/2006/relationships" ref="P231" r:id="rId18"/>
    <hyperlink xmlns:r="http://schemas.openxmlformats.org/officeDocument/2006/relationships" ref="P232" r:id="rId19"/>
    <hyperlink xmlns:r="http://schemas.openxmlformats.org/officeDocument/2006/relationships" ref="P233" r:id="rId20"/>
    <hyperlink xmlns:r="http://schemas.openxmlformats.org/officeDocument/2006/relationships" ref="P234" r:id="rId21"/>
    <hyperlink xmlns:r="http://schemas.openxmlformats.org/officeDocument/2006/relationships" ref="P235" r:id="rId22"/>
    <hyperlink xmlns:r="http://schemas.openxmlformats.org/officeDocument/2006/relationships" ref="P236" r:id="rId23"/>
    <hyperlink xmlns:r="http://schemas.openxmlformats.org/officeDocument/2006/relationships" ref="P238" r:id="rId24"/>
    <hyperlink xmlns:r="http://schemas.openxmlformats.org/officeDocument/2006/relationships" ref="P243" r:id="rId25"/>
    <hyperlink xmlns:r="http://schemas.openxmlformats.org/officeDocument/2006/relationships" ref="P246" r:id="rId26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" customWidth="1" style="24" min="1" max="1"/>
    <col width="16" customWidth="1" style="24" min="2" max="2"/>
    <col width="8.859999999999999" customWidth="1" style="24" min="3" max="3"/>
    <col width="30" customWidth="1" style="24" min="4" max="4"/>
    <col width="16" customWidth="1" style="24" min="5" max="5"/>
    <col width="8.859999999999999" customWidth="1" style="24" min="6" max="26"/>
  </cols>
  <sheetData>
    <row r="1" ht="30" customHeight="1" s="24">
      <c r="A1" s="25" t="inlineStr">
        <is>
          <t>📊 Statistiques (auto-calculées)</t>
        </is>
      </c>
    </row>
    <row r="3">
      <c r="A3" s="17" t="inlineStr">
        <is>
          <t>🎯 VOLUMES CLÉS</t>
        </is>
      </c>
      <c r="D3" s="17" t="inlineStr">
        <is>
          <t>🌍 PAR PAYS (post-enrichissement)</t>
        </is>
      </c>
    </row>
    <row r="4">
      <c r="A4" s="18" t="inlineStr">
        <is>
          <t>Total alumni dans la base</t>
        </is>
      </c>
      <c r="B4" s="19">
        <f>COUNTA('Alumni AG'!B3:B512)</f>
        <v/>
      </c>
      <c r="D4" s="20" t="inlineStr">
        <is>
          <t>Pays</t>
        </is>
      </c>
      <c r="E4" s="20" t="inlineStr">
        <is>
          <t>Nombre</t>
        </is>
      </c>
    </row>
    <row r="5">
      <c r="A5" s="18" t="inlineStr">
        <is>
          <t>Enrichis via LinkedIn</t>
        </is>
      </c>
      <c r="B5" s="19">
        <f>COUNTIF('Alumni AG'!Q3:Q512,"✅ Enrichi")</f>
        <v/>
      </c>
      <c r="D5" s="21" t="inlineStr">
        <is>
          <t>Suisse</t>
        </is>
      </c>
      <c r="E5" s="21">
        <f>COUNTIF('Alumni AG'!N3:N512,"Suisse")</f>
        <v/>
      </c>
    </row>
    <row r="6">
      <c r="A6" s="18" t="inlineStr">
        <is>
          <t>À enrichir</t>
        </is>
      </c>
      <c r="B6" s="19">
        <f>COUNTIF('Alumni AG'!Q3:Q512,"⬜ À enrichir")</f>
        <v/>
      </c>
      <c r="D6" s="21" t="inlineStr">
        <is>
          <t>France</t>
        </is>
      </c>
      <c r="E6" s="21">
        <f>COUNTIF('Alumni AG'!N3:N512,"France")</f>
        <v/>
      </c>
    </row>
    <row r="7">
      <c r="A7" s="18" t="inlineStr">
        <is>
          <t>Introuvables LinkedIn</t>
        </is>
      </c>
      <c r="B7" s="19">
        <f>COUNTIF('Alumni AG'!Q3:Q512,"❌ Introuvable sur LinkedIn")</f>
        <v/>
      </c>
      <c r="D7" s="21" t="inlineStr">
        <is>
          <t>Allemagne</t>
        </is>
      </c>
      <c r="E7" s="21">
        <f>COUNTIF('Alumni AG'!N3:N512,"Allemagne")</f>
        <v/>
      </c>
    </row>
    <row r="8">
      <c r="D8" s="21" t="inlineStr">
        <is>
          <t>Belgique</t>
        </is>
      </c>
      <c r="E8" s="21">
        <f>COUNTIF('Alumni AG'!N3:N512,"Belgique")</f>
        <v/>
      </c>
    </row>
    <row r="9">
      <c r="D9" s="21" t="inlineStr">
        <is>
          <t>Italie</t>
        </is>
      </c>
      <c r="E9" s="21">
        <f>COUNTIF('Alumni AG'!N3:N512,"Italie")</f>
        <v/>
      </c>
    </row>
    <row r="10">
      <c r="A10" s="17" t="inlineStr">
        <is>
          <t>📅 PAR ANNÉE DE SORTIE</t>
        </is>
      </c>
      <c r="D10" s="21" t="inlineStr">
        <is>
          <t>Royaume-Uni</t>
        </is>
      </c>
      <c r="E10" s="21">
        <f>COUNTIF('Alumni AG'!N3:N512,"Royaume-Uni")</f>
        <v/>
      </c>
    </row>
    <row r="11">
      <c r="A11" s="20" t="inlineStr">
        <is>
          <t>Année</t>
        </is>
      </c>
      <c r="B11" s="20" t="inlineStr">
        <is>
          <t>Nombre</t>
        </is>
      </c>
      <c r="D11" s="21" t="inlineStr">
        <is>
          <t>Espagne</t>
        </is>
      </c>
      <c r="E11" s="21">
        <f>COUNTIF('Alumni AG'!N3:N512,"Espagne")</f>
        <v/>
      </c>
    </row>
    <row r="12">
      <c r="A12" s="21" t="n">
        <v>2023</v>
      </c>
      <c r="B12" s="21">
        <f>COUNTIF('Alumni AG'!D3:D512,2023)</f>
        <v/>
      </c>
      <c r="D12" s="21" t="inlineStr">
        <is>
          <t>Portugal</t>
        </is>
      </c>
      <c r="E12" s="21">
        <f>COUNTIF('Alumni AG'!N3:N512,"Portugal")</f>
        <v/>
      </c>
    </row>
    <row r="13">
      <c r="A13" s="21" t="n">
        <v>2024</v>
      </c>
      <c r="B13" s="21">
        <f>COUNTIF('Alumni AG'!D3:D512,2024)</f>
        <v/>
      </c>
      <c r="D13" s="21" t="inlineStr">
        <is>
          <t>États-Unis</t>
        </is>
      </c>
      <c r="E13" s="21">
        <f>COUNTIF('Alumni AG'!N3:N512,"États-Unis")</f>
        <v/>
      </c>
    </row>
    <row r="14">
      <c r="A14" s="21" t="n">
        <v>2025</v>
      </c>
      <c r="B14" s="21">
        <f>COUNTIF('Alumni AG'!D3:D512,2025)</f>
        <v/>
      </c>
      <c r="D14" s="21" t="inlineStr">
        <is>
          <t>Canada</t>
        </is>
      </c>
      <c r="E14" s="21">
        <f>COUNTIF('Alumni AG'!N3:N512,"Canada")</f>
        <v/>
      </c>
    </row>
    <row r="15">
      <c r="A15" s="21" t="n">
        <v>2026</v>
      </c>
      <c r="B15" s="21">
        <f>COUNTIF('Alumni AG'!D3:D512,2026)</f>
        <v/>
      </c>
      <c r="D15" s="21" t="inlineStr">
        <is>
          <t>Brésil</t>
        </is>
      </c>
      <c r="E15" s="21">
        <f>COUNTIF('Alumni AG'!N3:N512,"Brésil")</f>
        <v/>
      </c>
    </row>
    <row r="16">
      <c r="D16" s="21" t="inlineStr">
        <is>
          <t>Kenya</t>
        </is>
      </c>
      <c r="E16" s="21">
        <f>COUNTIF('Alumni AG'!N3:N512,"Kenya")</f>
        <v/>
      </c>
    </row>
    <row r="17">
      <c r="D17" s="21" t="inlineStr">
        <is>
          <t>Sénégal</t>
        </is>
      </c>
      <c r="E17" s="21">
        <f>COUNTIF('Alumni AG'!N3:N512,"Sénégal")</f>
        <v/>
      </c>
    </row>
    <row r="18">
      <c r="D18" s="21" t="inlineStr">
        <is>
          <t>Maroc</t>
        </is>
      </c>
      <c r="E18" s="21">
        <f>COUNTIF('Alumni AG'!N3:N512,"Maroc")</f>
        <v/>
      </c>
    </row>
    <row r="19">
      <c r="D19" s="21" t="inlineStr">
        <is>
          <t>Tunisie</t>
        </is>
      </c>
      <c r="E19" s="21">
        <f>COUNTIF('Alumni AG'!N3:N512,"Tunisie")</f>
        <v/>
      </c>
    </row>
    <row r="20">
      <c r="D20" s="21" t="inlineStr">
        <is>
          <t>Côte d'Ivoire</t>
        </is>
      </c>
      <c r="E20" s="21">
        <f>COUNTIF('Alumni AG'!N3:N512,"Côte d'Ivoire")</f>
        <v/>
      </c>
    </row>
    <row r="21" ht="15.75" customHeight="1" s="24">
      <c r="D21" s="21" t="inlineStr">
        <is>
          <t>Burkina Faso</t>
        </is>
      </c>
      <c r="E21" s="21">
        <f>COUNTIF('Alumni AG'!N3:N512,"Burkina Faso")</f>
        <v/>
      </c>
    </row>
    <row r="22" ht="15.75" customHeight="1" s="24">
      <c r="D22" s="21" t="inlineStr">
        <is>
          <t>Algérie</t>
        </is>
      </c>
      <c r="E22" s="21">
        <f>COUNTIF('Alumni AG'!N3:N512,"Algérie")</f>
        <v/>
      </c>
    </row>
    <row r="23" ht="15.75" customHeight="1" s="24">
      <c r="D23" s="21" t="inlineStr">
        <is>
          <t>Autre</t>
        </is>
      </c>
      <c r="E23" s="21">
        <f>COUNTIF('Alumni AG'!N3:N512,"Autre")</f>
        <v/>
      </c>
    </row>
    <row r="24" ht="15.75" customHeight="1" s="24"/>
    <row r="25" ht="15.75" customHeight="1" s="24"/>
    <row r="26" ht="15.75" customHeight="1" s="24">
      <c r="D26" s="17" t="inlineStr">
        <is>
          <t>🎯 PAR SECTEUR</t>
        </is>
      </c>
    </row>
    <row r="27" ht="15.75" customHeight="1" s="24">
      <c r="D27" s="20" t="inlineStr">
        <is>
          <t>Secteur</t>
        </is>
      </c>
      <c r="E27" s="20" t="inlineStr">
        <is>
          <t>Nombre</t>
        </is>
      </c>
    </row>
    <row r="28" ht="15.75" customHeight="1" s="24">
      <c r="D28" s="21" t="inlineStr">
        <is>
          <t>Environnement / Climat</t>
        </is>
      </c>
      <c r="E28" s="21">
        <f>COUNTIF('Alumni AG'!O3:O512,"Environnement / Climat")</f>
        <v/>
      </c>
    </row>
    <row r="29" ht="15.75" customHeight="1" s="24">
      <c r="D29" s="21" t="inlineStr">
        <is>
          <t>Finance durable / ESG</t>
        </is>
      </c>
      <c r="E29" s="21">
        <f>COUNTIF('Alumni AG'!O3:O512,"Finance durable / ESG")</f>
        <v/>
      </c>
    </row>
    <row r="30" ht="15.75" customHeight="1" s="24">
      <c r="D30" s="21" t="inlineStr">
        <is>
          <t>Conseil / Audit</t>
        </is>
      </c>
      <c r="E30" s="21">
        <f>COUNTIF('Alumni AG'!O3:O512,"Conseil / Audit")</f>
        <v/>
      </c>
    </row>
    <row r="31" ht="15.75" customHeight="1" s="24">
      <c r="D31" s="21" t="inlineStr">
        <is>
          <t>Éducation / Recherche</t>
        </is>
      </c>
      <c r="E31" s="21">
        <f>COUNTIF('Alumni AG'!O3:O512,"Éducation / Recherche")</f>
        <v/>
      </c>
    </row>
    <row r="32" ht="15.75" customHeight="1" s="24">
      <c r="D32" s="21" t="inlineStr">
        <is>
          <t>ONG / Associatif</t>
        </is>
      </c>
      <c r="E32" s="21">
        <f>COUNTIF('Alumni AG'!O3:O512,"ONG / Associatif")</f>
        <v/>
      </c>
    </row>
    <row r="33" ht="15.75" customHeight="1" s="24">
      <c r="D33" s="21" t="inlineStr">
        <is>
          <t>Secteur public</t>
        </is>
      </c>
      <c r="E33" s="21">
        <f>COUNTIF('Alumni AG'!O3:O512,"Secteur public")</f>
        <v/>
      </c>
    </row>
    <row r="34" ht="15.75" customHeight="1" s="24">
      <c r="D34" s="21" t="inlineStr">
        <is>
          <t>Entreprise privée</t>
        </is>
      </c>
      <c r="E34" s="21">
        <f>COUNTIF('Alumni AG'!O3:O512,"Entreprise privée")</f>
        <v/>
      </c>
    </row>
    <row r="35" ht="15.75" customHeight="1" s="24">
      <c r="D35" s="21" t="inlineStr">
        <is>
          <t>Tech / Data</t>
        </is>
      </c>
      <c r="E35" s="21">
        <f>COUNTIF('Alumni AG'!O3:O512,"Tech / Data")</f>
        <v/>
      </c>
    </row>
    <row r="36" ht="15.75" customHeight="1" s="24">
      <c r="D36" s="21" t="inlineStr">
        <is>
          <t>Santé</t>
        </is>
      </c>
      <c r="E36" s="21">
        <f>COUNTIF('Alumni AG'!O3:O512,"Santé")</f>
        <v/>
      </c>
    </row>
    <row r="37" ht="15.75" customHeight="1" s="24">
      <c r="D37" s="21" t="inlineStr">
        <is>
          <t>Culture / Média</t>
        </is>
      </c>
      <c r="E37" s="21">
        <f>COUNTIF('Alumni AG'!O3:O512,"Culture / Média")</f>
        <v/>
      </c>
    </row>
    <row r="38" ht="15.75" customHeight="1" s="24">
      <c r="D38" s="21" t="inlineStr">
        <is>
          <t>Autre</t>
        </is>
      </c>
      <c r="E38" s="21">
        <f>COUNTIF('Alumni AG'!O3:O512,"Autre")</f>
        <v/>
      </c>
    </row>
    <row r="39" ht="15.75" customHeight="1" s="24"/>
    <row r="40" ht="15.75" customHeight="1" s="24"/>
    <row r="41" ht="15.75" customHeight="1" s="24"/>
    <row r="42" ht="15.75" customHeight="1" s="24"/>
    <row r="43" ht="15.75" customHeight="1" s="24"/>
    <row r="44" ht="15.75" customHeight="1" s="24"/>
    <row r="45" ht="15.75" customHeight="1" s="24"/>
    <row r="46" ht="15.75" customHeight="1" s="24"/>
    <row r="47" ht="15.75" customHeight="1" s="24"/>
    <row r="48" ht="15.75" customHeight="1" s="24"/>
    <row r="49" ht="15.75" customHeight="1" s="24"/>
    <row r="50" ht="15.75" customHeight="1" s="24"/>
    <row r="51" ht="15.75" customHeight="1" s="24"/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  <row r="998" ht="15.75" customHeight="1" s="24"/>
    <row r="999" ht="15.75" customHeight="1" s="24"/>
    <row r="1000" ht="15.75" customHeight="1" s="24"/>
  </sheetData>
  <mergeCells count="5">
    <mergeCell ref="D3:E3"/>
    <mergeCell ref="A10:B10"/>
    <mergeCell ref="A1:E1"/>
    <mergeCell ref="D26:E26"/>
    <mergeCell ref="A3:B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" customWidth="1" style="24" min="1" max="1"/>
    <col width="14" customWidth="1" style="24" min="2" max="2"/>
    <col width="16" customWidth="1" style="24" min="3" max="3"/>
    <col width="12" customWidth="1" style="24" min="4" max="4"/>
    <col width="24" customWidth="1" style="24" min="5" max="5"/>
    <col width="8.859999999999999" customWidth="1" style="24" min="6" max="26"/>
  </cols>
  <sheetData>
    <row r="1" ht="30" customHeight="1" s="24">
      <c r="A1" s="25" t="inlineStr">
        <is>
          <t>🎯 Alumni prioritaires pour enrichissement LinkedIn</t>
        </is>
      </c>
    </row>
    <row r="2" ht="45" customHeight="1" s="24">
      <c r="A2" s="26" t="inlineStr">
        <is>
          <t>Stratégie: prioriser les alumni 2024-2025, qui sont partis récemment et sont le plus probablement visibles sur LinkedIn avec un poste actuel identifiable. Commence par le haut de cette liste.</t>
        </is>
      </c>
    </row>
    <row r="3">
      <c r="A3" s="23" t="inlineStr">
        <is>
          <t>#</t>
        </is>
      </c>
      <c r="B3" s="23" t="inlineStr">
        <is>
          <t>Prénom</t>
        </is>
      </c>
      <c r="C3" s="23" t="inlineStr">
        <is>
          <t>Nom</t>
        </is>
      </c>
      <c r="D3" s="23" t="inlineStr">
        <is>
          <t>Année</t>
        </is>
      </c>
      <c r="E3" s="23" t="inlineStr">
        <is>
          <t>Fonction</t>
        </is>
      </c>
    </row>
    <row r="4">
      <c r="A4" s="21" t="n">
        <v>1</v>
      </c>
      <c r="B4" s="21" t="inlineStr">
        <is>
          <t>Angela</t>
        </is>
      </c>
      <c r="C4" s="21" t="inlineStr">
        <is>
          <t>ABANKWA</t>
        </is>
      </c>
      <c r="D4" s="21" t="n">
        <v>2024</v>
      </c>
      <c r="E4" s="21" t="inlineStr">
        <is>
          <t>RH</t>
        </is>
      </c>
    </row>
    <row r="5">
      <c r="A5" s="21" t="n">
        <v>2</v>
      </c>
      <c r="B5" s="21" t="inlineStr">
        <is>
          <t>Asmaà</t>
        </is>
      </c>
      <c r="C5" s="21" t="inlineStr">
        <is>
          <t>ABIDERRAHMANE</t>
        </is>
      </c>
      <c r="D5" s="21" t="n">
        <v>2024</v>
      </c>
      <c r="E5" s="21" t="inlineStr">
        <is>
          <t>IT</t>
        </is>
      </c>
    </row>
    <row r="6">
      <c r="A6" s="21" t="n">
        <v>3</v>
      </c>
      <c r="B6" s="21" t="inlineStr">
        <is>
          <t>Andre</t>
        </is>
      </c>
      <c r="C6" s="21" t="inlineStr">
        <is>
          <t>ABLI</t>
        </is>
      </c>
      <c r="D6" s="21" t="n">
        <v>2024</v>
      </c>
      <c r="E6" s="21" t="inlineStr">
        <is>
          <t>Juridique</t>
        </is>
      </c>
    </row>
    <row r="7">
      <c r="A7" s="21" t="n">
        <v>4</v>
      </c>
      <c r="B7" s="21" t="inlineStr">
        <is>
          <t>Johanna</t>
        </is>
      </c>
      <c r="C7" s="21" t="inlineStr">
        <is>
          <t>AEBI</t>
        </is>
      </c>
      <c r="D7" s="21" t="n">
        <v>2024</v>
      </c>
      <c r="E7" s="21" t="inlineStr">
        <is>
          <t>RH</t>
        </is>
      </c>
    </row>
    <row r="8">
      <c r="A8" s="21" t="n">
        <v>5</v>
      </c>
      <c r="B8" s="21" t="inlineStr">
        <is>
          <t>Gérald</t>
        </is>
      </c>
      <c r="C8" s="21" t="inlineStr">
        <is>
          <t>AGBOTI</t>
        </is>
      </c>
      <c r="D8" s="21" t="n">
        <v>2024</v>
      </c>
      <c r="E8" s="21" t="inlineStr">
        <is>
          <t>Collaboteur agriculture durable</t>
        </is>
      </c>
    </row>
    <row r="9">
      <c r="A9" s="21" t="n">
        <v>6</v>
      </c>
      <c r="B9" s="21" t="inlineStr">
        <is>
          <t>Yassh</t>
        </is>
      </c>
      <c r="C9" s="21" t="inlineStr">
        <is>
          <t>AGORO</t>
        </is>
      </c>
      <c r="D9" s="21" t="n">
        <v>2024</v>
      </c>
      <c r="E9" s="21" t="inlineStr">
        <is>
          <t>Data scientist</t>
        </is>
      </c>
    </row>
    <row r="10">
      <c r="A10" s="21" t="n">
        <v>7</v>
      </c>
      <c r="B10" s="21" t="inlineStr">
        <is>
          <t>Yousra</t>
        </is>
      </c>
      <c r="C10" s="21" t="inlineStr">
        <is>
          <t>AL NASIR</t>
        </is>
      </c>
      <c r="D10" s="21" t="n">
        <v>2024</v>
      </c>
      <c r="E10" s="21" t="inlineStr">
        <is>
          <t>Coordinatrice recherche agriculture Durable</t>
        </is>
      </c>
    </row>
    <row r="11">
      <c r="A11" s="21" t="n">
        <v>8</v>
      </c>
      <c r="B11" s="21" t="inlineStr">
        <is>
          <t>Jules-vianney</t>
        </is>
      </c>
      <c r="C11" s="21" t="inlineStr">
        <is>
          <t>ALIANA FOUDA</t>
        </is>
      </c>
      <c r="D11" s="21" t="n">
        <v>2024</v>
      </c>
      <c r="E11" s="21" t="inlineStr">
        <is>
          <t>Ingénieur éléctromagnétique</t>
        </is>
      </c>
    </row>
    <row r="12">
      <c r="A12" s="21" t="n">
        <v>9</v>
      </c>
      <c r="B12" s="21" t="inlineStr">
        <is>
          <t>Alice</t>
        </is>
      </c>
      <c r="C12" s="21" t="inlineStr">
        <is>
          <t>ALVES PINTO</t>
        </is>
      </c>
      <c r="D12" s="21" t="n">
        <v>2024</v>
      </c>
      <c r="E12" s="21" t="inlineStr">
        <is>
          <t>Traductrice</t>
        </is>
      </c>
    </row>
    <row r="13">
      <c r="A13" s="21" t="n">
        <v>10</v>
      </c>
      <c r="B13" s="21" t="inlineStr">
        <is>
          <t>Claire</t>
        </is>
      </c>
      <c r="C13" s="21" t="inlineStr">
        <is>
          <t>AMBLARD</t>
        </is>
      </c>
      <c r="D13" s="21" t="n">
        <v>2024</v>
      </c>
      <c r="E13" s="21" t="inlineStr">
        <is>
          <t>Design</t>
        </is>
      </c>
    </row>
    <row r="14">
      <c r="A14" s="21" t="n">
        <v>11</v>
      </c>
      <c r="B14" s="21" t="inlineStr">
        <is>
          <t>Claire</t>
        </is>
      </c>
      <c r="C14" s="21" t="inlineStr">
        <is>
          <t>AMORY</t>
        </is>
      </c>
      <c r="D14" s="21" t="n">
        <v>2024</v>
      </c>
      <c r="E14" s="21" t="inlineStr">
        <is>
          <t>Coordinatrice GCBO</t>
        </is>
      </c>
    </row>
    <row r="15">
      <c r="A15" s="21" t="n">
        <v>12</v>
      </c>
      <c r="B15" s="21" t="inlineStr">
        <is>
          <t>Anna-Maria</t>
        </is>
      </c>
      <c r="C15" s="21" t="inlineStr">
        <is>
          <t>ANNONAY</t>
        </is>
      </c>
      <c r="D15" s="21" t="n">
        <v>2024</v>
      </c>
      <c r="E15" s="21" t="inlineStr">
        <is>
          <t>Traductrice</t>
        </is>
      </c>
    </row>
    <row r="16">
      <c r="A16" s="21" t="n">
        <v>13</v>
      </c>
      <c r="B16" s="21" t="inlineStr">
        <is>
          <t>Chloé</t>
        </is>
      </c>
      <c r="C16" s="21" t="inlineStr">
        <is>
          <t>ANTHONADY</t>
        </is>
      </c>
      <c r="D16" s="21" t="n">
        <v>2024</v>
      </c>
      <c r="E16" s="21" t="inlineStr">
        <is>
          <t>Traductrice</t>
        </is>
      </c>
    </row>
    <row r="17">
      <c r="A17" s="21" t="n">
        <v>14</v>
      </c>
      <c r="B17" s="21" t="inlineStr">
        <is>
          <t>Aman</t>
        </is>
      </c>
      <c r="C17" s="21" t="inlineStr">
        <is>
          <t>ANTILLE</t>
        </is>
      </c>
      <c r="D17" s="21" t="n">
        <v>2024</v>
      </c>
      <c r="E17" s="21" t="inlineStr">
        <is>
          <t>RH</t>
        </is>
      </c>
    </row>
    <row r="18">
      <c r="A18" s="21" t="n">
        <v>15</v>
      </c>
      <c r="B18" s="21" t="inlineStr">
        <is>
          <t>Faouzi</t>
        </is>
      </c>
      <c r="C18" s="21" t="inlineStr">
        <is>
          <t>ARFAOUI</t>
        </is>
      </c>
      <c r="D18" s="21" t="n">
        <v>2024</v>
      </c>
      <c r="E18" s="21" t="inlineStr">
        <is>
          <t>RH</t>
        </is>
      </c>
    </row>
    <row r="19">
      <c r="A19" s="21" t="n">
        <v>16</v>
      </c>
      <c r="B19" s="21" t="inlineStr">
        <is>
          <t>Khalid</t>
        </is>
      </c>
      <c r="C19" s="21" t="inlineStr">
        <is>
          <t>ASSENGHOUR</t>
        </is>
      </c>
      <c r="D19" s="21" t="n">
        <v>2024</v>
      </c>
      <c r="E19" s="21" t="inlineStr">
        <is>
          <t>Coordinateur agriculture durable</t>
        </is>
      </c>
    </row>
    <row r="20">
      <c r="A20" s="21" t="n">
        <v>17</v>
      </c>
      <c r="B20" s="21" t="inlineStr">
        <is>
          <t>Bérénice</t>
        </is>
      </c>
      <c r="C20" s="21" t="inlineStr">
        <is>
          <t>AUCOUTURIER</t>
        </is>
      </c>
      <c r="D20" s="21" t="n">
        <v>2024</v>
      </c>
      <c r="E20" s="21" t="inlineStr">
        <is>
          <t>RH</t>
        </is>
      </c>
    </row>
    <row r="21" ht="15.75" customHeight="1" s="24">
      <c r="A21" s="21" t="n">
        <v>18</v>
      </c>
      <c r="B21" s="21" t="inlineStr">
        <is>
          <t>Amal</t>
        </is>
      </c>
      <c r="C21" s="21" t="inlineStr">
        <is>
          <t>AYED</t>
        </is>
      </c>
      <c r="D21" s="21" t="n">
        <v>2024</v>
      </c>
      <c r="E21" s="21" t="inlineStr">
        <is>
          <t>Chargée de projet Mode Durable</t>
        </is>
      </c>
    </row>
    <row r="22" ht="15.75" customHeight="1" s="24">
      <c r="A22" s="21" t="n">
        <v>19</v>
      </c>
      <c r="B22" s="21" t="inlineStr">
        <is>
          <t>Bruno</t>
        </is>
      </c>
      <c r="C22" s="21" t="inlineStr">
        <is>
          <t>AYER</t>
        </is>
      </c>
      <c r="D22" s="21" t="n">
        <v>2024</v>
      </c>
      <c r="E22" s="21" t="inlineStr">
        <is>
          <t>Analyse statistique</t>
        </is>
      </c>
    </row>
    <row r="23" ht="15.75" customHeight="1" s="24">
      <c r="A23" s="21" t="n">
        <v>20</v>
      </c>
      <c r="B23" s="21" t="inlineStr">
        <is>
          <t>Tymour</t>
        </is>
      </c>
      <c r="C23" s="21" t="inlineStr">
        <is>
          <t>AZZAM</t>
        </is>
      </c>
      <c r="D23" s="21" t="n">
        <v>2024</v>
      </c>
      <c r="E23" s="21" t="inlineStr">
        <is>
          <t xml:space="preserve">Community manager </t>
        </is>
      </c>
    </row>
    <row r="24" ht="15.75" customHeight="1" s="24">
      <c r="A24" s="21" t="n">
        <v>21</v>
      </c>
      <c r="B24" s="21" t="inlineStr">
        <is>
          <t>Natalia</t>
        </is>
      </c>
      <c r="C24" s="21" t="inlineStr">
        <is>
          <t>Acuña Andrey</t>
        </is>
      </c>
      <c r="D24" s="21" t="n">
        <v>2024</v>
      </c>
      <c r="E24" s="21" t="inlineStr">
        <is>
          <t>Coordinatrice Sustainability Club</t>
        </is>
      </c>
    </row>
    <row r="25" ht="15.75" customHeight="1" s="24">
      <c r="A25" s="21" t="n">
        <v>22</v>
      </c>
      <c r="B25" s="21" t="inlineStr">
        <is>
          <t>Sirine</t>
        </is>
      </c>
      <c r="C25" s="21" t="inlineStr">
        <is>
          <t>Aouinette</t>
        </is>
      </c>
      <c r="D25" s="21" t="n">
        <v>2024</v>
      </c>
      <c r="E25" s="21" t="inlineStr">
        <is>
          <t>iste Spécialisé dans les Matériaux Composites</t>
        </is>
      </c>
    </row>
    <row r="26" ht="15.75" customHeight="1" s="24">
      <c r="A26" s="21" t="n">
        <v>23</v>
      </c>
      <c r="B26" s="21" t="inlineStr">
        <is>
          <t>Zineb</t>
        </is>
      </c>
      <c r="C26" s="21" t="inlineStr">
        <is>
          <t>Arfani</t>
        </is>
      </c>
      <c r="D26" s="21" t="n">
        <v>2024</v>
      </c>
      <c r="E26" s="21" t="inlineStr">
        <is>
          <t>Dev Web &amp; web mobile</t>
        </is>
      </c>
    </row>
    <row r="27" ht="15.75" customHeight="1" s="24">
      <c r="A27" s="21" t="n">
        <v>24</v>
      </c>
      <c r="B27" s="21" t="inlineStr">
        <is>
          <t>Saida</t>
        </is>
      </c>
      <c r="C27" s="21" t="inlineStr">
        <is>
          <t>Ayad</t>
        </is>
      </c>
      <c r="D27" s="21" t="n">
        <v>2024</v>
      </c>
      <c r="E27" s="21" t="inlineStr">
        <is>
          <t xml:space="preserve">Auditeur vert répertoire vert </t>
        </is>
      </c>
    </row>
    <row r="28" ht="15.75" customHeight="1" s="24">
      <c r="A28" s="21" t="n">
        <v>25</v>
      </c>
      <c r="B28" s="21" t="inlineStr">
        <is>
          <t>Brahim</t>
        </is>
      </c>
      <c r="C28" s="21" t="inlineStr">
        <is>
          <t>BACHOU</t>
        </is>
      </c>
      <c r="D28" s="21" t="n">
        <v>2024</v>
      </c>
      <c r="E28" s="21" t="inlineStr">
        <is>
          <t>Data analyst</t>
        </is>
      </c>
    </row>
    <row r="29" ht="15.75" customHeight="1" s="24">
      <c r="A29" s="21" t="n">
        <v>26</v>
      </c>
      <c r="B29" s="21" t="inlineStr">
        <is>
          <t>Izabela Baranienko</t>
        </is>
      </c>
      <c r="C29" s="21" t="inlineStr">
        <is>
          <t>BARANIENKO</t>
        </is>
      </c>
      <c r="D29" s="21" t="n">
        <v>2024</v>
      </c>
      <c r="E29" s="21" t="inlineStr">
        <is>
          <t>RH</t>
        </is>
      </c>
    </row>
    <row r="30" ht="15.75" customHeight="1" s="24">
      <c r="A30" s="21" t="n">
        <v>27</v>
      </c>
      <c r="B30" s="21" t="inlineStr">
        <is>
          <t>Ryan</t>
        </is>
      </c>
      <c r="C30" s="21" t="inlineStr">
        <is>
          <t>BEKADDOUR</t>
        </is>
      </c>
      <c r="D30" s="21" t="n">
        <v>2024</v>
      </c>
      <c r="E30" s="21" t="inlineStr">
        <is>
          <t>Consultant expert en cybersécurité</t>
        </is>
      </c>
    </row>
    <row r="31" ht="15.75" customHeight="1" s="24">
      <c r="A31" s="21" t="n">
        <v>28</v>
      </c>
      <c r="B31" s="21" t="inlineStr">
        <is>
          <t>Samira</t>
        </is>
      </c>
      <c r="C31" s="21" t="inlineStr">
        <is>
          <t>BELARBI</t>
        </is>
      </c>
      <c r="D31" s="21" t="n">
        <v>2024</v>
      </c>
      <c r="E31" s="21" t="inlineStr">
        <is>
          <t>RH</t>
        </is>
      </c>
    </row>
    <row r="32" ht="15.75" customHeight="1" s="24">
      <c r="A32" s="21" t="n">
        <v>29</v>
      </c>
      <c r="B32" s="21" t="inlineStr">
        <is>
          <t>Angeline</t>
        </is>
      </c>
      <c r="C32" s="21" t="inlineStr">
        <is>
          <t>BELLINI</t>
        </is>
      </c>
      <c r="D32" s="21" t="n">
        <v>2024</v>
      </c>
      <c r="E32" s="21" t="inlineStr">
        <is>
          <t>Analyste de Cycle de vie</t>
        </is>
      </c>
    </row>
    <row r="33" ht="15.75" customHeight="1" s="24">
      <c r="A33" s="21" t="n">
        <v>30</v>
      </c>
      <c r="B33" s="21" t="inlineStr">
        <is>
          <t>Hafsa</t>
        </is>
      </c>
      <c r="C33" s="21" t="inlineStr">
        <is>
          <t>BELMIR</t>
        </is>
      </c>
      <c r="D33" s="21" t="n">
        <v>2024</v>
      </c>
      <c r="E33" s="21" t="inlineStr">
        <is>
          <t>Coordinatrice marketing</t>
        </is>
      </c>
    </row>
    <row r="34" ht="15.75" customHeight="1" s="24">
      <c r="A34" s="21" t="n">
        <v>31</v>
      </c>
      <c r="B34" s="21" t="inlineStr">
        <is>
          <t>Brice</t>
        </is>
      </c>
      <c r="C34" s="21" t="inlineStr">
        <is>
          <t>BELMONTE</t>
        </is>
      </c>
      <c r="D34" s="21" t="n">
        <v>2024</v>
      </c>
      <c r="E34" s="21" t="inlineStr">
        <is>
          <t>IT</t>
        </is>
      </c>
    </row>
    <row r="35" ht="15.75" customHeight="1" s="24">
      <c r="A35" s="21" t="n">
        <v>32</v>
      </c>
      <c r="B35" s="21" t="inlineStr">
        <is>
          <t>Mohamed</t>
        </is>
      </c>
      <c r="C35" s="21" t="inlineStr">
        <is>
          <t>BEN MAAOUIA</t>
        </is>
      </c>
      <c r="D35" s="21" t="n">
        <v>2024</v>
      </c>
      <c r="E35" s="21" t="inlineStr">
        <is>
          <t>IT</t>
        </is>
      </c>
    </row>
    <row r="36" ht="15.75" customHeight="1" s="24">
      <c r="A36" s="21" t="n">
        <v>33</v>
      </c>
      <c r="B36" s="21" t="inlineStr">
        <is>
          <t>Donia</t>
        </is>
      </c>
      <c r="C36" s="21" t="inlineStr">
        <is>
          <t>BEN MANSOUR</t>
        </is>
      </c>
      <c r="D36" s="21" t="n">
        <v>2024</v>
      </c>
      <c r="E36" s="21" t="inlineStr">
        <is>
          <t>RH</t>
        </is>
      </c>
    </row>
    <row r="37" ht="15.75" customHeight="1" s="24">
      <c r="A37" s="21" t="n">
        <v>34</v>
      </c>
      <c r="B37" s="21" t="inlineStr">
        <is>
          <t>Dorothée</t>
        </is>
      </c>
      <c r="C37" s="21" t="inlineStr">
        <is>
          <t>BERG</t>
        </is>
      </c>
      <c r="D37" s="21" t="n">
        <v>2024</v>
      </c>
      <c r="E37" s="21" t="inlineStr">
        <is>
          <t>RH</t>
        </is>
      </c>
    </row>
    <row r="38" ht="15.75" customHeight="1" s="24">
      <c r="A38" s="21" t="n">
        <v>35</v>
      </c>
      <c r="B38" s="21" t="inlineStr">
        <is>
          <t>Komla Wolanya</t>
        </is>
      </c>
      <c r="C38" s="21" t="inlineStr">
        <is>
          <t>BIEM</t>
        </is>
      </c>
      <c r="D38" s="21" t="n">
        <v>2024</v>
      </c>
      <c r="E38" s="21" t="inlineStr">
        <is>
          <t>Chargé de projet en environnement/développement durable/changement climatique</t>
        </is>
      </c>
    </row>
    <row r="39" ht="15.75" customHeight="1" s="24">
      <c r="A39" s="21" t="n">
        <v>36</v>
      </c>
      <c r="B39" s="21" t="inlineStr">
        <is>
          <t>Fatoumata</t>
        </is>
      </c>
      <c r="C39" s="21" t="inlineStr">
        <is>
          <t>BINTOUT NDAO</t>
        </is>
      </c>
      <c r="D39" s="21" t="n">
        <v>2024</v>
      </c>
      <c r="E39" s="21" t="inlineStr">
        <is>
          <t>Consultante QSE</t>
        </is>
      </c>
    </row>
    <row r="40" ht="15.75" customHeight="1" s="24">
      <c r="A40" s="21" t="n">
        <v>37</v>
      </c>
      <c r="B40" s="21" t="inlineStr">
        <is>
          <t>Loubna</t>
        </is>
      </c>
      <c r="C40" s="21" t="inlineStr">
        <is>
          <t>BOUHANNOU</t>
        </is>
      </c>
      <c r="D40" s="21" t="n">
        <v>2024</v>
      </c>
      <c r="E40" s="21" t="inlineStr">
        <is>
          <t>RH</t>
        </is>
      </c>
    </row>
    <row r="41" ht="15.75" customHeight="1" s="24">
      <c r="A41" s="21" t="n">
        <v>38</v>
      </c>
      <c r="B41" s="21" t="inlineStr">
        <is>
          <t>Fatma</t>
        </is>
      </c>
      <c r="C41" s="21" t="inlineStr">
        <is>
          <t>BOUJELBEN</t>
        </is>
      </c>
      <c r="D41" s="21" t="n">
        <v>2024</v>
      </c>
      <c r="E41" s="21" t="inlineStr">
        <is>
          <t>Sociologue</t>
        </is>
      </c>
    </row>
    <row r="42" ht="15.75" customHeight="1" s="24">
      <c r="A42" s="21" t="n">
        <v>39</v>
      </c>
      <c r="B42" s="21" t="inlineStr">
        <is>
          <t>Florence</t>
        </is>
      </c>
      <c r="C42" s="21" t="inlineStr">
        <is>
          <t>BRUCHET</t>
        </is>
      </c>
      <c r="D42" s="21" t="n">
        <v>2024</v>
      </c>
      <c r="E42" s="21" t="inlineStr">
        <is>
          <t>RH</t>
        </is>
      </c>
    </row>
    <row r="43" ht="15.75" customHeight="1" s="24">
      <c r="A43" s="21" t="n">
        <v>40</v>
      </c>
      <c r="B43" s="21" t="inlineStr">
        <is>
          <t>Raoul</t>
        </is>
      </c>
      <c r="C43" s="21" t="inlineStr">
        <is>
          <t>Bassil</t>
        </is>
      </c>
      <c r="D43" s="21" t="n">
        <v>2024</v>
      </c>
      <c r="E43" s="21" t="inlineStr">
        <is>
          <t xml:space="preserve">analyste economique
</t>
        </is>
      </c>
    </row>
    <row r="44" ht="15.75" customHeight="1" s="24">
      <c r="A44" s="21" t="n">
        <v>41</v>
      </c>
      <c r="B44" s="21" t="inlineStr">
        <is>
          <t>Salim</t>
        </is>
      </c>
      <c r="C44" s="21" t="inlineStr">
        <is>
          <t>Bouzid</t>
        </is>
      </c>
      <c r="D44" s="21" t="n">
        <v>2024</v>
      </c>
      <c r="E44" s="21" t="inlineStr">
        <is>
          <t>developpeur web et web mobile</t>
        </is>
      </c>
    </row>
    <row r="45" ht="15.75" customHeight="1" s="24">
      <c r="A45" s="21" t="n">
        <v>42</v>
      </c>
      <c r="B45" s="21" t="inlineStr">
        <is>
          <t>Jimmy</t>
        </is>
      </c>
      <c r="C45" s="21" t="inlineStr">
        <is>
          <t>CADOT</t>
        </is>
      </c>
      <c r="D45" s="21" t="n">
        <v>2024</v>
      </c>
      <c r="E45" s="21" t="inlineStr">
        <is>
          <t>IT</t>
        </is>
      </c>
    </row>
    <row r="46" ht="15.75" customHeight="1" s="24">
      <c r="A46" s="21" t="n">
        <v>43</v>
      </c>
      <c r="B46" s="21" t="inlineStr">
        <is>
          <t>Tiago</t>
        </is>
      </c>
      <c r="C46" s="21" t="inlineStr">
        <is>
          <t>CANTO DOS SANDOS</t>
        </is>
      </c>
      <c r="D46" s="21" t="n">
        <v>2024</v>
      </c>
      <c r="E46" s="21" t="inlineStr">
        <is>
          <t>RH</t>
        </is>
      </c>
    </row>
    <row r="47" ht="15.75" customHeight="1" s="24">
      <c r="A47" s="21" t="n">
        <v>44</v>
      </c>
      <c r="B47" s="21" t="inlineStr">
        <is>
          <t>Clémentine</t>
        </is>
      </c>
      <c r="C47" s="21" t="inlineStr">
        <is>
          <t>CARBILLET</t>
        </is>
      </c>
      <c r="D47" s="21" t="n">
        <v>2024</v>
      </c>
      <c r="E47" s="21" t="inlineStr">
        <is>
          <t>Traductrice</t>
        </is>
      </c>
    </row>
    <row r="48" ht="15.75" customHeight="1" s="24">
      <c r="A48" s="21" t="n">
        <v>45</v>
      </c>
      <c r="B48" s="21" t="inlineStr">
        <is>
          <t>Emir Ben</t>
        </is>
      </c>
      <c r="C48" s="21" t="inlineStr">
        <is>
          <t>CHAABENE</t>
        </is>
      </c>
      <c r="D48" s="21" t="n">
        <v>2024</v>
      </c>
      <c r="E48" s="21" t="inlineStr">
        <is>
          <t>Coordinateur cartographie</t>
        </is>
      </c>
    </row>
    <row r="49" ht="15.75" customHeight="1" s="24">
      <c r="A49" s="21" t="n">
        <v>46</v>
      </c>
      <c r="B49" s="21" t="inlineStr">
        <is>
          <t>Ahmed</t>
        </is>
      </c>
      <c r="C49" s="21" t="inlineStr">
        <is>
          <t>CHRAYET</t>
        </is>
      </c>
      <c r="D49" s="21" t="n">
        <v>2024</v>
      </c>
      <c r="E49" s="21" t="inlineStr">
        <is>
          <t>Coordinateur GCBO</t>
        </is>
      </c>
    </row>
    <row r="50" ht="15.75" customHeight="1" s="24">
      <c r="A50" s="21" t="n">
        <v>47</v>
      </c>
      <c r="B50" s="21" t="inlineStr">
        <is>
          <t>Bill James</t>
        </is>
      </c>
      <c r="C50" s="21" t="inlineStr">
        <is>
          <t>CHRYSOSTOME</t>
        </is>
      </c>
      <c r="D50" s="21" t="n">
        <v>2024</v>
      </c>
      <c r="E50" s="21" t="inlineStr">
        <is>
          <t>Chargé de communication-marketing</t>
        </is>
      </c>
    </row>
    <row r="51" ht="15.75" customHeight="1" s="24">
      <c r="A51" s="21" t="n">
        <v>48</v>
      </c>
      <c r="B51" s="21" t="inlineStr">
        <is>
          <t>Estelle</t>
        </is>
      </c>
      <c r="C51" s="21" t="inlineStr">
        <is>
          <t>CLAMY</t>
        </is>
      </c>
      <c r="D51" s="21" t="n">
        <v>2024</v>
      </c>
      <c r="E51" s="21" t="inlineStr">
        <is>
          <t>Traductrice</t>
        </is>
      </c>
    </row>
    <row r="52" ht="15.75" customHeight="1" s="24">
      <c r="A52" s="21" t="n">
        <v>49</v>
      </c>
      <c r="B52" s="21" t="inlineStr">
        <is>
          <t>Liliana</t>
        </is>
      </c>
      <c r="C52" s="21" t="inlineStr">
        <is>
          <t>DE OLIVIERA</t>
        </is>
      </c>
      <c r="D52" s="21" t="n">
        <v>2024</v>
      </c>
      <c r="E52" s="21" t="inlineStr">
        <is>
          <t>RH</t>
        </is>
      </c>
    </row>
    <row r="53" ht="15.75" customHeight="1" s="24">
      <c r="A53" s="21" t="n">
        <v>50</v>
      </c>
      <c r="B53" s="21" t="inlineStr">
        <is>
          <t>Florie</t>
        </is>
      </c>
      <c r="C53" s="21" t="inlineStr">
        <is>
          <t>DECItRE</t>
        </is>
      </c>
      <c r="D53" s="21" t="n">
        <v>2024</v>
      </c>
      <c r="E53" s="21" t="inlineStr">
        <is>
          <t>IT</t>
        </is>
      </c>
    </row>
    <row r="54" ht="15.75" customHeight="1" s="24">
      <c r="A54" s="21" t="n">
        <v>51</v>
      </c>
      <c r="B54" s="21" t="inlineStr">
        <is>
          <t>Axel</t>
        </is>
      </c>
      <c r="C54" s="21" t="inlineStr">
        <is>
          <t>DELANNOY</t>
        </is>
      </c>
      <c r="D54" s="21" t="n">
        <v>2024</v>
      </c>
      <c r="E54" s="21" t="inlineStr">
        <is>
          <t>IT</t>
        </is>
      </c>
    </row>
    <row r="55" ht="15.75" customHeight="1" s="24">
      <c r="A55" s="21" t="n">
        <v>52</v>
      </c>
      <c r="B55" s="21" t="inlineStr">
        <is>
          <t>Ethan</t>
        </is>
      </c>
      <c r="C55" s="21" t="inlineStr">
        <is>
          <t>DELANNOY</t>
        </is>
      </c>
      <c r="D55" s="21" t="n">
        <v>2024</v>
      </c>
      <c r="E55" s="21" t="inlineStr">
        <is>
          <t>IT</t>
        </is>
      </c>
    </row>
    <row r="56" ht="15.75" customHeight="1" s="24">
      <c r="A56" s="21" t="n">
        <v>53</v>
      </c>
      <c r="B56" s="21" t="inlineStr">
        <is>
          <t>Genc</t>
        </is>
      </c>
      <c r="C56" s="21" t="inlineStr">
        <is>
          <t>DEMI</t>
        </is>
      </c>
      <c r="D56" s="21" t="n">
        <v>2024</v>
      </c>
      <c r="E56" s="21" t="inlineStr">
        <is>
          <t>IT</t>
        </is>
      </c>
    </row>
    <row r="57" ht="15.75" customHeight="1" s="24">
      <c r="A57" s="21" t="n">
        <v>54</v>
      </c>
      <c r="B57" s="21" t="inlineStr">
        <is>
          <t>Céline</t>
        </is>
      </c>
      <c r="C57" s="21" t="inlineStr">
        <is>
          <t>DEVOS</t>
        </is>
      </c>
      <c r="D57" s="21" t="n">
        <v>2024</v>
      </c>
      <c r="E57" s="21" t="inlineStr">
        <is>
          <t>IT</t>
        </is>
      </c>
    </row>
    <row r="58" ht="15.75" customHeight="1" s="24">
      <c r="A58" s="21" t="n">
        <v>55</v>
      </c>
      <c r="B58" s="21" t="inlineStr">
        <is>
          <t>Hudo</t>
        </is>
      </c>
      <c r="C58" s="21" t="inlineStr">
        <is>
          <t>DI TOMASO</t>
        </is>
      </c>
      <c r="D58" s="21" t="n">
        <v>2024</v>
      </c>
      <c r="E58" s="21" t="inlineStr">
        <is>
          <t>ingénieur</t>
        </is>
      </c>
    </row>
    <row r="59" ht="15.75" customHeight="1" s="24">
      <c r="A59" s="21" t="n">
        <v>56</v>
      </c>
      <c r="B59" s="21" t="inlineStr">
        <is>
          <t>Farmato</t>
        </is>
      </c>
      <c r="C59" s="21" t="inlineStr">
        <is>
          <t>DIALLO</t>
        </is>
      </c>
      <c r="D59" s="21" t="n">
        <v>2024</v>
      </c>
      <c r="E59" s="21" t="inlineStr">
        <is>
          <t>RH</t>
        </is>
      </c>
    </row>
    <row r="60" ht="15.75" customHeight="1" s="24">
      <c r="A60" s="21" t="n">
        <v>57</v>
      </c>
      <c r="B60" s="21" t="inlineStr">
        <is>
          <t>Ahmadou</t>
        </is>
      </c>
      <c r="C60" s="21" t="inlineStr">
        <is>
          <t>DIOP</t>
        </is>
      </c>
      <c r="D60" s="21" t="n">
        <v>2024</v>
      </c>
      <c r="E60" s="21" t="inlineStr">
        <is>
          <t>Contrôleur de gestion</t>
        </is>
      </c>
    </row>
    <row r="61" ht="15.75" customHeight="1" s="24">
      <c r="A61" s="21" t="n">
        <v>58</v>
      </c>
      <c r="B61" s="21" t="inlineStr">
        <is>
          <t>Dramane</t>
        </is>
      </c>
      <c r="C61" s="21" t="inlineStr">
        <is>
          <t>DJIRE</t>
        </is>
      </c>
      <c r="D61" s="21" t="n">
        <v>2024</v>
      </c>
      <c r="E61" s="21" t="inlineStr">
        <is>
          <t>Coordinateur technique</t>
        </is>
      </c>
    </row>
    <row r="62" ht="15.75" customHeight="1" s="24">
      <c r="A62" s="21" t="n">
        <v>59</v>
      </c>
      <c r="B62" s="21" t="inlineStr">
        <is>
          <t>Enzo</t>
        </is>
      </c>
      <c r="C62" s="21" t="inlineStr">
        <is>
          <t>DUMEZ</t>
        </is>
      </c>
      <c r="D62" s="21" t="n">
        <v>2024</v>
      </c>
      <c r="E62" s="21" t="inlineStr">
        <is>
          <t>IT</t>
        </is>
      </c>
    </row>
    <row r="63" ht="15.75" customHeight="1" s="24">
      <c r="A63" s="21" t="n">
        <v>60</v>
      </c>
      <c r="B63" s="21" t="inlineStr">
        <is>
          <t>Anna</t>
        </is>
      </c>
      <c r="C63" s="21" t="inlineStr">
        <is>
          <t>DUPERRAY</t>
        </is>
      </c>
      <c r="D63" s="21" t="n">
        <v>2024</v>
      </c>
      <c r="E63" s="21" t="inlineStr">
        <is>
          <t>RH</t>
        </is>
      </c>
    </row>
    <row r="64" ht="15.75" customHeight="1" s="24">
      <c r="A64" s="21" t="n">
        <v>61</v>
      </c>
      <c r="B64" s="21" t="inlineStr">
        <is>
          <t>Nikita</t>
        </is>
      </c>
      <c r="C64" s="21" t="inlineStr">
        <is>
          <t>DUZHENKO</t>
        </is>
      </c>
      <c r="D64" s="21" t="n">
        <v>2024</v>
      </c>
      <c r="E64" s="21" t="inlineStr">
        <is>
          <t>Traducteur francais anglais/russe</t>
        </is>
      </c>
    </row>
    <row r="65" ht="15.75" customHeight="1" s="24">
      <c r="A65" s="21" t="n">
        <v>62</v>
      </c>
      <c r="B65" s="21" t="inlineStr">
        <is>
          <t>Yannick</t>
        </is>
      </c>
      <c r="C65" s="21" t="inlineStr">
        <is>
          <t>Deasse</t>
        </is>
      </c>
      <c r="D65" s="21" t="n">
        <v>2024</v>
      </c>
      <c r="E65" s="21" t="inlineStr">
        <is>
          <t>Auditeur vert</t>
        </is>
      </c>
    </row>
    <row r="66" ht="15.75" customHeight="1" s="24">
      <c r="A66" s="21" t="n">
        <v>63</v>
      </c>
      <c r="B66" s="21" t="inlineStr">
        <is>
          <t>Amath</t>
        </is>
      </c>
      <c r="C66" s="21" t="inlineStr">
        <is>
          <t>Diatta</t>
        </is>
      </c>
      <c r="D66" s="21" t="n">
        <v>2024</v>
      </c>
      <c r="E66" s="21" t="inlineStr">
        <is>
          <t>UX/UI Designer</t>
        </is>
      </c>
    </row>
    <row r="67" ht="15.75" customHeight="1" s="24">
      <c r="A67" s="21" t="n">
        <v>64</v>
      </c>
      <c r="B67" s="21" t="inlineStr">
        <is>
          <t>Ousmane</t>
        </is>
      </c>
      <c r="C67" s="21" t="inlineStr">
        <is>
          <t>Djiré</t>
        </is>
      </c>
      <c r="D67" s="21" t="n">
        <v>2024</v>
      </c>
      <c r="E67" s="21" t="inlineStr">
        <is>
          <t>data analyst</t>
        </is>
      </c>
    </row>
    <row r="68" ht="15.75" customHeight="1" s="24">
      <c r="A68" s="21" t="n">
        <v>65</v>
      </c>
      <c r="B68" s="21" t="inlineStr">
        <is>
          <t>Adrien</t>
        </is>
      </c>
      <c r="C68" s="21" t="inlineStr">
        <is>
          <t>Déturche</t>
        </is>
      </c>
      <c r="D68" s="21" t="n">
        <v>2024</v>
      </c>
      <c r="E68" s="21" t="inlineStr">
        <is>
          <t>rh</t>
        </is>
      </c>
    </row>
    <row r="69" ht="15.75" customHeight="1" s="24">
      <c r="A69" s="21" t="n">
        <v>66</v>
      </c>
      <c r="B69" s="21" t="inlineStr">
        <is>
          <t>David</t>
        </is>
      </c>
      <c r="C69" s="21" t="inlineStr">
        <is>
          <t>EKLOU</t>
        </is>
      </c>
      <c r="D69" s="21" t="n">
        <v>2024</v>
      </c>
      <c r="E69" s="21" t="inlineStr">
        <is>
          <t>Coordinateur chargé de projet Coaching télétravail</t>
        </is>
      </c>
    </row>
    <row r="70" ht="15.75" customHeight="1" s="24">
      <c r="A70" s="21" t="n">
        <v>67</v>
      </c>
      <c r="B70" s="21" t="inlineStr">
        <is>
          <t>Mohammed</t>
        </is>
      </c>
      <c r="C70" s="21" t="inlineStr">
        <is>
          <t>EL BOUBEKRI</t>
        </is>
      </c>
      <c r="D70" s="21" t="n">
        <v>2024</v>
      </c>
      <c r="E70" s="21" t="inlineStr">
        <is>
          <t>Coordinateur GCC et architecture durable</t>
        </is>
      </c>
    </row>
    <row r="71" ht="15.75" customHeight="1" s="24">
      <c r="A71" s="21" t="n">
        <v>68</v>
      </c>
      <c r="B71" s="21" t="inlineStr">
        <is>
          <t>Celine</t>
        </is>
      </c>
      <c r="C71" s="21" t="inlineStr">
        <is>
          <t>EMPTOZ-LACOTE</t>
        </is>
      </c>
      <c r="D71" s="21" t="n">
        <v>2024</v>
      </c>
      <c r="E71" s="21" t="inlineStr">
        <is>
          <t>IT</t>
        </is>
      </c>
    </row>
    <row r="72" ht="15.75" customHeight="1" s="24">
      <c r="A72" s="21" t="n">
        <v>69</v>
      </c>
      <c r="B72" s="21" t="inlineStr">
        <is>
          <t>Matthias</t>
        </is>
      </c>
      <c r="C72" s="21" t="inlineStr">
        <is>
          <t>FELLON</t>
        </is>
      </c>
      <c r="D72" s="21" t="n">
        <v>2024</v>
      </c>
      <c r="E72" s="21" t="inlineStr">
        <is>
          <t>IT</t>
        </is>
      </c>
    </row>
    <row r="73" ht="15.75" customHeight="1" s="24">
      <c r="A73" s="21" t="n">
        <v>70</v>
      </c>
      <c r="B73" s="21" t="inlineStr">
        <is>
          <t>Camille</t>
        </is>
      </c>
      <c r="C73" s="21" t="inlineStr">
        <is>
          <t>FILLON</t>
        </is>
      </c>
      <c r="D73" s="21" t="n">
        <v>2024</v>
      </c>
      <c r="E73" s="21" t="inlineStr">
        <is>
          <t>Traductrice</t>
        </is>
      </c>
    </row>
    <row r="74" ht="15.75" customHeight="1" s="24">
      <c r="A74" s="21" t="n">
        <v>71</v>
      </c>
      <c r="B74" s="21" t="inlineStr">
        <is>
          <t>Léa</t>
        </is>
      </c>
      <c r="C74" s="21" t="inlineStr">
        <is>
          <t>FONT</t>
        </is>
      </c>
      <c r="D74" s="21" t="n">
        <v>2024</v>
      </c>
      <c r="E74" s="21" t="inlineStr">
        <is>
          <t>RH</t>
        </is>
      </c>
    </row>
    <row r="75" ht="15.75" customHeight="1" s="24">
      <c r="A75" s="21" t="n">
        <v>72</v>
      </c>
      <c r="B75" s="21" t="inlineStr">
        <is>
          <t>Scarley</t>
        </is>
      </c>
      <c r="C75" s="21" t="inlineStr">
        <is>
          <t>Fabien</t>
        </is>
      </c>
      <c r="D75" s="21" t="n">
        <v>2024</v>
      </c>
      <c r="E75" s="21" t="inlineStr">
        <is>
          <t>STAGE ASSISTANT DE RECHERCHE ÉTUDE D'IMPACT ENVIRONNEMENTALE</t>
        </is>
      </c>
    </row>
    <row r="76" ht="15.75" customHeight="1" s="24">
      <c r="A76" s="21" t="n">
        <v>73</v>
      </c>
      <c r="B76" s="21" t="inlineStr">
        <is>
          <t>Christie</t>
        </is>
      </c>
      <c r="C76" s="21" t="inlineStr">
        <is>
          <t>GACE</t>
        </is>
      </c>
      <c r="D76" s="21" t="n">
        <v>2024</v>
      </c>
      <c r="E76" s="21" t="inlineStr">
        <is>
          <t>RH</t>
        </is>
      </c>
    </row>
    <row r="77" ht="15.75" customHeight="1" s="24">
      <c r="A77" s="21" t="n">
        <v>74</v>
      </c>
      <c r="B77" s="21" t="inlineStr">
        <is>
          <t>Noursaine</t>
        </is>
      </c>
      <c r="C77" s="21" t="inlineStr">
        <is>
          <t>GAIDA</t>
        </is>
      </c>
      <c r="D77" s="21" t="n">
        <v>2024</v>
      </c>
      <c r="E77" s="21" t="inlineStr">
        <is>
          <t>Data scientist</t>
        </is>
      </c>
    </row>
    <row r="78" ht="15.75" customHeight="1" s="24">
      <c r="A78" s="21" t="n">
        <v>75</v>
      </c>
      <c r="B78" s="21" t="inlineStr">
        <is>
          <t>Malek</t>
        </is>
      </c>
      <c r="C78" s="21" t="inlineStr">
        <is>
          <t>GALLAS</t>
        </is>
      </c>
      <c r="D78" s="21" t="n">
        <v>2024</v>
      </c>
      <c r="E78" s="21" t="inlineStr">
        <is>
          <t>Data analyst</t>
        </is>
      </c>
    </row>
    <row r="79" ht="15.75" customHeight="1" s="24">
      <c r="A79" s="21" t="n">
        <v>76</v>
      </c>
      <c r="B79" s="21" t="inlineStr">
        <is>
          <t>Basma</t>
        </is>
      </c>
      <c r="C79" s="21" t="inlineStr">
        <is>
          <t>GHAFFOUR</t>
        </is>
      </c>
      <c r="D79" s="21" t="n">
        <v>2024</v>
      </c>
      <c r="E79" s="21" t="inlineStr">
        <is>
          <t>Analyste en statistique appliquées</t>
        </is>
      </c>
    </row>
    <row r="80" ht="15.75" customHeight="1" s="24">
      <c r="A80" s="21" t="n">
        <v>77</v>
      </c>
      <c r="B80" s="21" t="inlineStr">
        <is>
          <t>Isabelle</t>
        </is>
      </c>
      <c r="C80" s="21" t="inlineStr">
        <is>
          <t>GOMEZ FUENTES</t>
        </is>
      </c>
      <c r="D80" s="21" t="n">
        <v>2024</v>
      </c>
      <c r="E80" s="21" t="inlineStr">
        <is>
          <t>RH</t>
        </is>
      </c>
    </row>
    <row r="81" ht="15.75" customHeight="1" s="24">
      <c r="A81" s="21" t="n">
        <v>78</v>
      </c>
      <c r="B81" s="21" t="inlineStr">
        <is>
          <t>Samia</t>
        </is>
      </c>
      <c r="C81" s="21" t="inlineStr">
        <is>
          <t>GREGOIRE</t>
        </is>
      </c>
      <c r="D81" s="21" t="n">
        <v>2024</v>
      </c>
      <c r="E81" s="21" t="inlineStr">
        <is>
          <t>RH</t>
        </is>
      </c>
    </row>
    <row r="82" ht="15.75" customHeight="1" s="24">
      <c r="A82" s="21" t="n">
        <v>79</v>
      </c>
      <c r="B82" s="21" t="inlineStr">
        <is>
          <t>Oumaima</t>
        </is>
      </c>
      <c r="C82" s="21" t="inlineStr">
        <is>
          <t>GUERFEL</t>
        </is>
      </c>
      <c r="D82" s="21" t="n">
        <v>2024</v>
      </c>
      <c r="E82" s="21" t="inlineStr">
        <is>
          <t>Analyste financier - projet budget (H/F</t>
        </is>
      </c>
    </row>
    <row r="83" ht="15.75" customHeight="1" s="24">
      <c r="A83" s="21" t="n">
        <v>80</v>
      </c>
      <c r="B83" s="21" t="inlineStr">
        <is>
          <t>Ahmed</t>
        </is>
      </c>
      <c r="C83" s="21" t="inlineStr">
        <is>
          <t>GUINOUBI</t>
        </is>
      </c>
      <c r="D83" s="21" t="n">
        <v>2024</v>
      </c>
      <c r="E83" s="21" t="inlineStr">
        <is>
          <t>Assistant de recherche - étude d'impact environnementale</t>
        </is>
      </c>
    </row>
    <row r="84" ht="15.75" customHeight="1" s="24">
      <c r="A84" s="21" t="n">
        <v>81</v>
      </c>
      <c r="B84" s="21" t="inlineStr">
        <is>
          <t>Amira Jimenez</t>
        </is>
      </c>
      <c r="C84" s="21" t="inlineStr">
        <is>
          <t>Gasraoui</t>
        </is>
      </c>
      <c r="D84" s="21" t="n">
        <v>2024</v>
      </c>
      <c r="E84" s="21" t="inlineStr">
        <is>
          <t>Coordinatrice Budget</t>
        </is>
      </c>
    </row>
    <row r="85" ht="15.75" customHeight="1" s="24">
      <c r="A85" s="21" t="n">
        <v>82</v>
      </c>
      <c r="B85" s="21" t="inlineStr">
        <is>
          <t>Nolwenn</t>
        </is>
      </c>
      <c r="C85" s="21" t="inlineStr">
        <is>
          <t>Georgy</t>
        </is>
      </c>
      <c r="D85" s="21" t="n">
        <v>2024</v>
      </c>
      <c r="E85" s="21" t="inlineStr">
        <is>
          <t xml:space="preserve">Chargée de partenariat stratégique </t>
        </is>
      </c>
    </row>
    <row r="86" ht="15.75" customHeight="1" s="24">
      <c r="A86" s="21" t="n">
        <v>83</v>
      </c>
      <c r="B86" s="21" t="inlineStr">
        <is>
          <t>Steven</t>
        </is>
      </c>
      <c r="C86" s="21" t="inlineStr">
        <is>
          <t>Grecescu</t>
        </is>
      </c>
      <c r="D86" s="21" t="n">
        <v>2024</v>
      </c>
      <c r="E86" s="21" t="inlineStr">
        <is>
          <t>developpeur web</t>
        </is>
      </c>
    </row>
    <row r="87" ht="15.75" customHeight="1" s="24">
      <c r="A87" s="21" t="n">
        <v>84</v>
      </c>
      <c r="B87" s="21" t="inlineStr">
        <is>
          <t>Evelyne</t>
        </is>
      </c>
      <c r="C87" s="21" t="inlineStr">
        <is>
          <t>HIRSCHY</t>
        </is>
      </c>
      <c r="D87" s="21" t="n">
        <v>2024</v>
      </c>
      <c r="E87" s="21" t="inlineStr">
        <is>
          <t>RH</t>
        </is>
      </c>
    </row>
    <row r="88" ht="15.75" customHeight="1" s="24">
      <c r="A88" s="21" t="n">
        <v>85</v>
      </c>
      <c r="B88" s="21" t="inlineStr">
        <is>
          <t>Céline</t>
        </is>
      </c>
      <c r="C88" s="21" t="inlineStr">
        <is>
          <t>HO</t>
        </is>
      </c>
      <c r="D88" s="21" t="n">
        <v>2024</v>
      </c>
      <c r="E88" s="21" t="inlineStr">
        <is>
          <t>Design</t>
        </is>
      </c>
    </row>
    <row r="89" ht="15.75" customHeight="1" s="24">
      <c r="A89" s="21" t="n">
        <v>86</v>
      </c>
      <c r="B89" s="21" t="inlineStr">
        <is>
          <t>Anthony</t>
        </is>
      </c>
      <c r="C89" s="21" t="inlineStr">
        <is>
          <t>HRENANGE</t>
        </is>
      </c>
      <c r="D89" s="21" t="n">
        <v>2024</v>
      </c>
      <c r="E89" s="21" t="inlineStr">
        <is>
          <t>Marketing</t>
        </is>
      </c>
    </row>
    <row r="90" ht="15.75" customHeight="1" s="24">
      <c r="A90" s="21" t="n">
        <v>87</v>
      </c>
      <c r="B90" s="21" t="inlineStr">
        <is>
          <t>Oumaima</t>
        </is>
      </c>
      <c r="C90" s="21" t="inlineStr">
        <is>
          <t>Hajlaoui</t>
        </is>
      </c>
      <c r="D90" s="21" t="n">
        <v>2024</v>
      </c>
      <c r="E90" s="21" t="inlineStr">
        <is>
          <t>Chimiste Spécialisé dans les Matériaux Composites</t>
        </is>
      </c>
    </row>
    <row r="91" ht="15.75" customHeight="1" s="24">
      <c r="A91" s="21" t="n">
        <v>88</v>
      </c>
      <c r="B91" s="21" t="inlineStr">
        <is>
          <t>Hachim</t>
        </is>
      </c>
      <c r="C91" s="21" t="inlineStr">
        <is>
          <t>IAHAYA SAID</t>
        </is>
      </c>
      <c r="D91" s="21" t="n">
        <v>2024</v>
      </c>
      <c r="E91" s="21" t="inlineStr">
        <is>
          <t>Data analyst</t>
        </is>
      </c>
    </row>
    <row r="92" ht="15.75" customHeight="1" s="24">
      <c r="A92" s="21" t="n">
        <v>89</v>
      </c>
      <c r="B92" s="21" t="inlineStr">
        <is>
          <t>Jean Pierre</t>
        </is>
      </c>
      <c r="C92" s="21" t="inlineStr">
        <is>
          <t>II Foe</t>
        </is>
      </c>
      <c r="D92" s="21" t="n">
        <v>2024</v>
      </c>
      <c r="E92" s="21" t="inlineStr">
        <is>
          <t>Traducteur</t>
        </is>
      </c>
    </row>
    <row r="93" ht="15.75" customHeight="1" s="24">
      <c r="A93" s="21" t="n">
        <v>90</v>
      </c>
      <c r="B93" s="21" t="inlineStr">
        <is>
          <t>Siwar Ibn Ghozzi</t>
        </is>
      </c>
      <c r="C93" s="21" t="inlineStr">
        <is>
          <t>Ibn Ghozzi</t>
        </is>
      </c>
      <c r="D93" s="21" t="n">
        <v>2024</v>
      </c>
      <c r="E93" s="21" t="inlineStr">
        <is>
          <t>Coordinatrice générale du projet Agriculture durable</t>
        </is>
      </c>
    </row>
    <row r="94" ht="15.75" customHeight="1" s="24">
      <c r="A94" s="21" t="n">
        <v>91</v>
      </c>
      <c r="B94" s="21" t="inlineStr">
        <is>
          <t>Céline</t>
        </is>
      </c>
      <c r="C94" s="21" t="inlineStr">
        <is>
          <t>JACCARD</t>
        </is>
      </c>
      <c r="D94" s="21" t="n">
        <v>2024</v>
      </c>
      <c r="E94" s="21" t="inlineStr">
        <is>
          <t>RH</t>
        </is>
      </c>
    </row>
    <row r="95" ht="15.75" customHeight="1" s="24">
      <c r="A95" s="21" t="n">
        <v>92</v>
      </c>
      <c r="B95" s="21" t="inlineStr">
        <is>
          <t>Karim</t>
        </is>
      </c>
      <c r="C95" s="21" t="inlineStr">
        <is>
          <t>KACI</t>
        </is>
      </c>
      <c r="D95" s="21" t="n">
        <v>2024</v>
      </c>
      <c r="E95" s="21" t="inlineStr">
        <is>
          <t>RH</t>
        </is>
      </c>
    </row>
    <row r="96" ht="15.75" customHeight="1" s="24">
      <c r="A96" s="21" t="n">
        <v>93</v>
      </c>
      <c r="B96" s="21" t="inlineStr">
        <is>
          <t>Océane</t>
        </is>
      </c>
      <c r="C96" s="21" t="inlineStr">
        <is>
          <t>KAMAR-EDDINE</t>
        </is>
      </c>
      <c r="D96" s="21" t="n">
        <v>2024</v>
      </c>
      <c r="E96" s="21" t="inlineStr">
        <is>
          <t>Formatrice en RH</t>
        </is>
      </c>
    </row>
    <row r="97" ht="15.75" customHeight="1" s="24">
      <c r="A97" s="21" t="n">
        <v>94</v>
      </c>
      <c r="B97" s="21" t="inlineStr">
        <is>
          <t>Joel</t>
        </is>
      </c>
      <c r="C97" s="21" t="inlineStr">
        <is>
          <t>KINFACK</t>
        </is>
      </c>
      <c r="D97" s="21" t="n">
        <v>2024</v>
      </c>
      <c r="E97" s="21" t="inlineStr">
        <is>
          <t>Ingénieur</t>
        </is>
      </c>
    </row>
    <row r="98" ht="15.75" customHeight="1" s="24">
      <c r="A98" s="21" t="n">
        <v>95</v>
      </c>
      <c r="B98" s="21" t="inlineStr">
        <is>
          <t>Fald</t>
        </is>
      </c>
      <c r="C98" s="21" t="inlineStr">
        <is>
          <t>KINTANA</t>
        </is>
      </c>
      <c r="D98" s="21" t="n">
        <v>2024</v>
      </c>
      <c r="E98" s="21" t="inlineStr">
        <is>
          <t>Marketing digital</t>
        </is>
      </c>
    </row>
    <row r="99" ht="15.75" customHeight="1" s="24">
      <c r="A99" s="21" t="n">
        <v>96</v>
      </c>
      <c r="B99" s="21" t="inlineStr">
        <is>
          <t>Anna</t>
        </is>
      </c>
      <c r="C99" s="21" t="inlineStr">
        <is>
          <t>KLOCHKOVA</t>
        </is>
      </c>
      <c r="D99" s="21" t="n">
        <v>2024</v>
      </c>
      <c r="E99" s="21" t="inlineStr">
        <is>
          <t>RH</t>
        </is>
      </c>
    </row>
    <row r="100" ht="15.75" customHeight="1" s="24">
      <c r="A100" s="21" t="n">
        <v>97</v>
      </c>
      <c r="B100" s="21" t="inlineStr">
        <is>
          <t>Abi</t>
        </is>
      </c>
      <c r="C100" s="21" t="inlineStr">
        <is>
          <t>KONE</t>
        </is>
      </c>
      <c r="D100" s="21" t="n">
        <v>2024</v>
      </c>
      <c r="E100" s="21" t="inlineStr">
        <is>
          <t>RH</t>
        </is>
      </c>
    </row>
    <row r="101" ht="15.75" customHeight="1" s="24">
      <c r="A101" s="21" t="n">
        <v>98</v>
      </c>
      <c r="B101" s="21" t="inlineStr">
        <is>
          <t>Anne</t>
        </is>
      </c>
      <c r="C101" s="21" t="inlineStr">
        <is>
          <t>KWARO</t>
        </is>
      </c>
      <c r="D101" s="21" t="n">
        <v>2024</v>
      </c>
      <c r="E101" s="21" t="inlineStr">
        <is>
          <t>IT</t>
        </is>
      </c>
    </row>
    <row r="102" ht="15.75" customHeight="1" s="24">
      <c r="A102" s="21" t="n">
        <v>99</v>
      </c>
      <c r="B102" s="21" t="inlineStr">
        <is>
          <t>Shahana</t>
        </is>
      </c>
      <c r="C102" s="21" t="inlineStr">
        <is>
          <t>Karimova</t>
        </is>
      </c>
      <c r="D102" s="21" t="n">
        <v>2024</v>
      </c>
      <c r="E102" s="21" t="inlineStr">
        <is>
          <t>marketing opérationnel</t>
        </is>
      </c>
    </row>
    <row r="103" ht="15.75" customHeight="1" s="24">
      <c r="A103" s="21" t="n">
        <v>100</v>
      </c>
      <c r="B103" s="21" t="inlineStr">
        <is>
          <t>Wolanya</t>
        </is>
      </c>
      <c r="C103" s="21" t="inlineStr">
        <is>
          <t>Komla Biem</t>
        </is>
      </c>
      <c r="D103" s="21" t="n">
        <v>2024</v>
      </c>
      <c r="E103" s="21" t="inlineStr">
        <is>
          <t>chargé de projet en Environnement / développement durable /Changement Climatique</t>
        </is>
      </c>
    </row>
    <row r="104" ht="15.75" customHeight="1" s="24">
      <c r="A104" s="21" t="n">
        <v>101</v>
      </c>
      <c r="B104" s="21" t="inlineStr">
        <is>
          <t>Guillaume</t>
        </is>
      </c>
      <c r="C104" s="21" t="inlineStr">
        <is>
          <t>L'HULLIER</t>
        </is>
      </c>
      <c r="D104" s="21" t="n">
        <v>2024</v>
      </c>
      <c r="E104" s="21" t="inlineStr">
        <is>
          <t>IT</t>
        </is>
      </c>
    </row>
    <row r="105" ht="15.75" customHeight="1" s="24">
      <c r="A105" s="21" t="n">
        <v>102</v>
      </c>
      <c r="B105" s="21" t="inlineStr">
        <is>
          <t>Donia</t>
        </is>
      </c>
      <c r="C105" s="21" t="inlineStr">
        <is>
          <t>LAAJILI</t>
        </is>
      </c>
      <c r="D105" s="21" t="n">
        <v>2024</v>
      </c>
      <c r="E105" s="21" t="inlineStr">
        <is>
          <t>IT</t>
        </is>
      </c>
    </row>
    <row r="106" ht="15.75" customHeight="1" s="24">
      <c r="A106" s="21" t="n">
        <v>103</v>
      </c>
      <c r="B106" s="21" t="inlineStr">
        <is>
          <t>Youssef</t>
        </is>
      </c>
      <c r="C106" s="21" t="inlineStr">
        <is>
          <t>LAFKIHI</t>
        </is>
      </c>
      <c r="D106" s="21" t="n">
        <v>2024</v>
      </c>
      <c r="E106" s="21" t="inlineStr">
        <is>
          <t>Assistant de recherche en climatologie</t>
        </is>
      </c>
    </row>
    <row r="107" ht="15.75" customHeight="1" s="24">
      <c r="A107" s="21" t="n">
        <v>104</v>
      </c>
      <c r="B107" s="21" t="inlineStr">
        <is>
          <t>Donia</t>
        </is>
      </c>
      <c r="C107" s="21" t="inlineStr">
        <is>
          <t>LAIDI</t>
        </is>
      </c>
      <c r="D107" s="21" t="n">
        <v>2024</v>
      </c>
      <c r="E107" s="21" t="inlineStr">
        <is>
          <t>Traductrice</t>
        </is>
      </c>
    </row>
    <row r="108" ht="15.75" customHeight="1" s="24">
      <c r="A108" s="21" t="n">
        <v>105</v>
      </c>
      <c r="B108" s="21" t="inlineStr">
        <is>
          <t>Myriam</t>
        </is>
      </c>
      <c r="C108" s="21" t="inlineStr">
        <is>
          <t>LAMBO</t>
        </is>
      </c>
      <c r="D108" s="21" t="n">
        <v>2024</v>
      </c>
      <c r="E108" s="21" t="inlineStr">
        <is>
          <t>Traductrice</t>
        </is>
      </c>
    </row>
    <row r="109" ht="15.75" customHeight="1" s="24">
      <c r="A109" s="21" t="n">
        <v>106</v>
      </c>
      <c r="B109" s="21" t="inlineStr">
        <is>
          <t>Emmanuelle</t>
        </is>
      </c>
      <c r="C109" s="21" t="inlineStr">
        <is>
          <t>LANTERNIER</t>
        </is>
      </c>
      <c r="D109" s="21" t="n">
        <v>2024</v>
      </c>
      <c r="E109" s="21" t="inlineStr">
        <is>
          <t>RH</t>
        </is>
      </c>
    </row>
    <row r="110" ht="15.75" customHeight="1" s="24">
      <c r="A110" s="21" t="n">
        <v>107</v>
      </c>
      <c r="B110" s="21" t="inlineStr">
        <is>
          <t>Benjamin</t>
        </is>
      </c>
      <c r="C110" s="21" t="inlineStr">
        <is>
          <t>LENNE</t>
        </is>
      </c>
      <c r="D110" s="21" t="n">
        <v>2024</v>
      </c>
      <c r="E110" s="21" t="inlineStr">
        <is>
          <t>Traducteur</t>
        </is>
      </c>
    </row>
    <row r="111" ht="15.75" customHeight="1" s="24">
      <c r="A111" s="21" t="n">
        <v>108</v>
      </c>
      <c r="B111" s="21" t="inlineStr">
        <is>
          <t>Mathis</t>
        </is>
      </c>
      <c r="C111" s="21" t="inlineStr">
        <is>
          <t>LESUEUR</t>
        </is>
      </c>
      <c r="D111" s="21" t="n">
        <v>2024</v>
      </c>
      <c r="E111" s="21" t="inlineStr">
        <is>
          <t>Collaborateur sustainability club</t>
        </is>
      </c>
    </row>
    <row r="112" ht="15.75" customHeight="1" s="24">
      <c r="A112" s="21" t="n">
        <v>109</v>
      </c>
      <c r="B112" s="21" t="inlineStr">
        <is>
          <t>Anthony</t>
        </is>
      </c>
      <c r="C112" s="21" t="inlineStr">
        <is>
          <t>Le Cardonnel</t>
        </is>
      </c>
      <c r="D112" s="21" t="n">
        <v>2024</v>
      </c>
      <c r="E112" s="21" t="inlineStr">
        <is>
          <t>IT</t>
        </is>
      </c>
    </row>
    <row r="113" ht="15.75" customHeight="1" s="24">
      <c r="A113" s="21" t="n">
        <v>110</v>
      </c>
      <c r="B113" s="21" t="inlineStr">
        <is>
          <t>Quentin</t>
        </is>
      </c>
      <c r="C113" s="21" t="inlineStr">
        <is>
          <t>Leclaire</t>
        </is>
      </c>
      <c r="D113" s="21" t="n">
        <v>2024</v>
      </c>
      <c r="E113" s="21" t="inlineStr">
        <is>
          <t>Dev Web &amp; web mobile</t>
        </is>
      </c>
    </row>
    <row r="114" ht="15.75" customHeight="1" s="24">
      <c r="A114" s="21" t="n">
        <v>111</v>
      </c>
      <c r="B114" s="21" t="inlineStr">
        <is>
          <t>Soumia</t>
        </is>
      </c>
      <c r="C114" s="21" t="inlineStr">
        <is>
          <t>Louchene</t>
        </is>
      </c>
      <c r="D114" s="21" t="n">
        <v>2024</v>
      </c>
      <c r="E114" s="21" t="inlineStr">
        <is>
          <t>Coordinatrice "marketing" projet de soutien</t>
        </is>
      </c>
    </row>
    <row r="115" ht="15.75" customHeight="1" s="24">
      <c r="A115" s="21" t="n">
        <v>112</v>
      </c>
      <c r="B115" s="21" t="inlineStr">
        <is>
          <t>Zineb</t>
        </is>
      </c>
      <c r="C115" s="21" t="inlineStr">
        <is>
          <t>Louz</t>
        </is>
      </c>
      <c r="D115" s="21" t="n">
        <v>2024</v>
      </c>
      <c r="E115" s="21" t="inlineStr">
        <is>
          <t>Traduction chinois-anglais</t>
        </is>
      </c>
    </row>
    <row r="116" ht="15.75" customHeight="1" s="24">
      <c r="A116" s="21" t="n">
        <v>113</v>
      </c>
      <c r="B116" s="21" t="inlineStr">
        <is>
          <t>Loni</t>
        </is>
      </c>
      <c r="C116" s="21" t="inlineStr">
        <is>
          <t>MACHADO</t>
        </is>
      </c>
      <c r="D116" s="21" t="n">
        <v>2024</v>
      </c>
      <c r="E116" s="21" t="inlineStr">
        <is>
          <t>RH</t>
        </is>
      </c>
    </row>
    <row r="117" ht="15.75" customHeight="1" s="24">
      <c r="A117" s="21" t="n">
        <v>114</v>
      </c>
      <c r="B117" s="21" t="inlineStr">
        <is>
          <t>Rilwanou</t>
        </is>
      </c>
      <c r="C117" s="21" t="inlineStr">
        <is>
          <t>MAHAMAN LAWAL</t>
        </is>
      </c>
      <c r="D117" s="21" t="n">
        <v>2024</v>
      </c>
      <c r="E117" s="21" t="inlineStr">
        <is>
          <t>Statisticien(ne) / Analyste en statistique appliquées</t>
        </is>
      </c>
    </row>
    <row r="118" ht="15.75" customHeight="1" s="24">
      <c r="A118" s="21" t="n">
        <v>115</v>
      </c>
      <c r="B118" s="21" t="inlineStr">
        <is>
          <t>Tayari</t>
        </is>
      </c>
      <c r="C118" s="21" t="inlineStr">
        <is>
          <t>MAHREZ</t>
        </is>
      </c>
      <c r="D118" s="21" t="n">
        <v>2024</v>
      </c>
      <c r="E118" s="21" t="inlineStr">
        <is>
          <t>Coordinateur Sustainability Club 2023</t>
        </is>
      </c>
    </row>
    <row r="119" ht="15.75" customHeight="1" s="24">
      <c r="A119" s="21" t="n">
        <v>116</v>
      </c>
      <c r="B119" s="21" t="inlineStr">
        <is>
          <t>Florentine Rosalie</t>
        </is>
      </c>
      <c r="C119" s="21" t="inlineStr">
        <is>
          <t>MANE</t>
        </is>
      </c>
      <c r="D119" s="21" t="n">
        <v>2024</v>
      </c>
      <c r="E119" s="21" t="inlineStr">
        <is>
          <t>Coordinatrice tourisme durable</t>
        </is>
      </c>
    </row>
    <row r="120" ht="15.75" customHeight="1" s="24">
      <c r="A120" s="21" t="n">
        <v>117</v>
      </c>
      <c r="B120" s="21" t="inlineStr">
        <is>
          <t>Anna</t>
        </is>
      </c>
      <c r="C120" s="21" t="inlineStr">
        <is>
          <t>MARTIN</t>
        </is>
      </c>
      <c r="D120" s="21" t="n">
        <v>2024</v>
      </c>
      <c r="E120" s="21" t="inlineStr">
        <is>
          <t>Traductrice</t>
        </is>
      </c>
    </row>
    <row r="121" ht="15.75" customHeight="1" s="24">
      <c r="A121" s="21" t="n">
        <v>118</v>
      </c>
      <c r="B121" s="21" t="inlineStr">
        <is>
          <t>Marguerite Helène</t>
        </is>
      </c>
      <c r="C121" s="21" t="inlineStr">
        <is>
          <t>MASSINGA LOEMBE</t>
        </is>
      </c>
      <c r="D121" s="21" t="n">
        <v>2024</v>
      </c>
      <c r="E121" s="21" t="inlineStr">
        <is>
          <t>IT</t>
        </is>
      </c>
    </row>
    <row r="122" ht="15.75" customHeight="1" s="24">
      <c r="A122" s="21" t="n">
        <v>119</v>
      </c>
      <c r="B122" s="21" t="inlineStr">
        <is>
          <t>Palmira</t>
        </is>
      </c>
      <c r="C122" s="21" t="inlineStr">
        <is>
          <t>MATEUS</t>
        </is>
      </c>
      <c r="D122" s="21" t="n">
        <v>2024</v>
      </c>
      <c r="E122" s="21" t="inlineStr">
        <is>
          <t>RH</t>
        </is>
      </c>
    </row>
    <row r="123" ht="15.75" customHeight="1" s="24">
      <c r="A123" s="21" t="n">
        <v>120</v>
      </c>
      <c r="B123" s="21" t="inlineStr">
        <is>
          <t>Eslam</t>
        </is>
      </c>
      <c r="C123" s="21" t="inlineStr">
        <is>
          <t>MAYHOB</t>
        </is>
      </c>
      <c r="D123" s="21" t="n">
        <v>2024</v>
      </c>
      <c r="E123" s="21" t="inlineStr">
        <is>
          <t>Analyst statistique</t>
        </is>
      </c>
    </row>
    <row r="124" ht="15.75" customHeight="1" s="24">
      <c r="A124" s="21" t="n">
        <v>121</v>
      </c>
      <c r="B124" s="21" t="inlineStr">
        <is>
          <t>Valeria</t>
        </is>
      </c>
      <c r="C124" s="21" t="inlineStr">
        <is>
          <t>MEDINA</t>
        </is>
      </c>
      <c r="D124" s="21" t="n">
        <v>2024</v>
      </c>
      <c r="E124" s="21" t="inlineStr">
        <is>
          <t>Analyste budgétaire</t>
        </is>
      </c>
    </row>
    <row r="125" ht="15.75" customHeight="1" s="24">
      <c r="A125" s="21" t="n">
        <v>122</v>
      </c>
      <c r="B125" s="21" t="inlineStr">
        <is>
          <t>Michelle</t>
        </is>
      </c>
      <c r="C125" s="21" t="inlineStr">
        <is>
          <t>MEFFO</t>
        </is>
      </c>
      <c r="D125" s="21" t="n">
        <v>2024</v>
      </c>
      <c r="E125" s="21" t="inlineStr">
        <is>
          <t>Collaboratrice GCC et GCBO</t>
        </is>
      </c>
    </row>
    <row r="126" ht="15.75" customHeight="1" s="24">
      <c r="A126" s="21" t="n">
        <v>123</v>
      </c>
      <c r="B126" s="21" t="inlineStr">
        <is>
          <t>Morir</t>
        </is>
      </c>
      <c r="C126" s="21" t="inlineStr">
        <is>
          <t>MEHHAT</t>
        </is>
      </c>
      <c r="D126" s="21" t="n">
        <v>2024</v>
      </c>
      <c r="E126" s="21" t="inlineStr">
        <is>
          <t>IT</t>
        </is>
      </c>
    </row>
    <row r="127" ht="15.75" customHeight="1" s="24">
      <c r="A127" s="21" t="n">
        <v>124</v>
      </c>
      <c r="B127" s="21" t="inlineStr">
        <is>
          <t>Morina</t>
        </is>
      </c>
      <c r="C127" s="21" t="inlineStr">
        <is>
          <t>MERGIME</t>
        </is>
      </c>
      <c r="D127" s="21" t="n">
        <v>2024</v>
      </c>
      <c r="E127" s="21" t="inlineStr">
        <is>
          <t>CM/ Branding</t>
        </is>
      </c>
    </row>
    <row r="128" ht="15.75" customHeight="1" s="24">
      <c r="A128" s="21" t="n">
        <v>125</v>
      </c>
      <c r="B128" s="21" t="inlineStr">
        <is>
          <t>Hadia</t>
        </is>
      </c>
      <c r="C128" s="21" t="inlineStr">
        <is>
          <t>MESBAHI</t>
        </is>
      </c>
      <c r="D128" s="21" t="n">
        <v>2024</v>
      </c>
      <c r="E128" s="21" t="inlineStr">
        <is>
          <t>IT</t>
        </is>
      </c>
    </row>
    <row r="129" ht="15.75" customHeight="1" s="24">
      <c r="A129" s="21" t="n">
        <v>126</v>
      </c>
      <c r="B129" s="21" t="inlineStr">
        <is>
          <t>Stéphane</t>
        </is>
      </c>
      <c r="C129" s="21" t="inlineStr">
        <is>
          <t>METTIVIER</t>
        </is>
      </c>
      <c r="D129" s="21" t="n">
        <v>2024</v>
      </c>
      <c r="E129" s="21" t="inlineStr">
        <is>
          <t>RH</t>
        </is>
      </c>
    </row>
    <row r="130" ht="15.75" customHeight="1" s="24">
      <c r="A130" s="21" t="n">
        <v>127</v>
      </c>
      <c r="B130" s="21" t="inlineStr">
        <is>
          <t>Houda</t>
        </is>
      </c>
      <c r="C130" s="21" t="inlineStr">
        <is>
          <t>MIR</t>
        </is>
      </c>
      <c r="D130" s="21" t="n">
        <v>2024</v>
      </c>
      <c r="E130" s="21" t="inlineStr">
        <is>
          <t>Chargée de pojet événementiel</t>
        </is>
      </c>
    </row>
    <row r="131" ht="15.75" customHeight="1" s="24">
      <c r="A131" s="21" t="n">
        <v>128</v>
      </c>
      <c r="B131" s="21" t="inlineStr">
        <is>
          <t>Imen</t>
        </is>
      </c>
      <c r="C131" s="21" t="inlineStr">
        <is>
          <t>MISSAOUI</t>
        </is>
      </c>
      <c r="D131" s="21" t="n">
        <v>2024</v>
      </c>
      <c r="E131" s="21" t="inlineStr">
        <is>
          <t>Ingénieur éléctromagnétique</t>
        </is>
      </c>
    </row>
    <row r="132" ht="15.75" customHeight="1" s="24">
      <c r="A132" s="21" t="n">
        <v>129</v>
      </c>
      <c r="B132" s="21" t="inlineStr">
        <is>
          <t>Lilasse</t>
        </is>
      </c>
      <c r="C132" s="21" t="inlineStr">
        <is>
          <t>MOBAREK</t>
        </is>
      </c>
      <c r="D132" s="21" t="n">
        <v>2024</v>
      </c>
      <c r="E132" s="21" t="inlineStr">
        <is>
          <t>Traductrice</t>
        </is>
      </c>
    </row>
    <row r="133" ht="15.75" customHeight="1" s="24">
      <c r="A133" s="21" t="n">
        <v>130</v>
      </c>
      <c r="B133" s="21" t="inlineStr">
        <is>
          <t>Sarah</t>
        </is>
      </c>
      <c r="C133" s="21" t="inlineStr">
        <is>
          <t>MOUMIN</t>
        </is>
      </c>
      <c r="D133" s="21" t="n">
        <v>2024</v>
      </c>
      <c r="E133" s="21" t="inlineStr">
        <is>
          <t>RH</t>
        </is>
      </c>
    </row>
    <row r="134" ht="15.75" customHeight="1" s="24">
      <c r="A134" s="21" t="n">
        <v>131</v>
      </c>
      <c r="B134" s="21" t="inlineStr">
        <is>
          <t>Sara</t>
        </is>
      </c>
      <c r="C134" s="21" t="inlineStr">
        <is>
          <t>Manuela Scarabino</t>
        </is>
      </c>
      <c r="D134" s="21" t="n">
        <v>2024</v>
      </c>
      <c r="E134" s="21" t="inlineStr">
        <is>
          <t>Traductrice français-italien</t>
        </is>
      </c>
    </row>
    <row r="135" ht="15.75" customHeight="1" s="24">
      <c r="A135" s="21" t="n">
        <v>132</v>
      </c>
      <c r="B135" s="21" t="inlineStr">
        <is>
          <t>Nejua</t>
        </is>
      </c>
      <c r="C135" s="21" t="inlineStr">
        <is>
          <t>Mestiri</t>
        </is>
      </c>
      <c r="D135" s="21" t="n">
        <v>2024</v>
      </c>
      <c r="E135" s="21" t="inlineStr">
        <is>
          <t>Traductrice</t>
        </is>
      </c>
    </row>
    <row r="136" ht="15.75" customHeight="1" s="24">
      <c r="A136" s="21" t="n">
        <v>133</v>
      </c>
      <c r="B136" s="21" t="inlineStr">
        <is>
          <t>Rahima</t>
        </is>
      </c>
      <c r="C136" s="21" t="inlineStr">
        <is>
          <t>NADJI</t>
        </is>
      </c>
      <c r="D136" s="21" t="n">
        <v>2024</v>
      </c>
      <c r="E136" s="21" t="inlineStr">
        <is>
          <t>Data Scientist</t>
        </is>
      </c>
    </row>
    <row r="137" ht="15.75" customHeight="1" s="24">
      <c r="A137" s="21" t="n">
        <v>134</v>
      </c>
      <c r="B137" s="21" t="inlineStr">
        <is>
          <t>Giacomo</t>
        </is>
      </c>
      <c r="C137" s="21" t="inlineStr">
        <is>
          <t>NALI</t>
        </is>
      </c>
      <c r="D137" s="21" t="n">
        <v>2024</v>
      </c>
      <c r="E137" s="21" t="inlineStr">
        <is>
          <t>Ingénieur énergie</t>
        </is>
      </c>
    </row>
    <row r="138" ht="15.75" customHeight="1" s="24">
      <c r="A138" s="21" t="n">
        <v>135</v>
      </c>
      <c r="B138" s="21" t="inlineStr">
        <is>
          <t>Giuseppe</t>
        </is>
      </c>
      <c r="C138" s="21" t="inlineStr">
        <is>
          <t>NALI</t>
        </is>
      </c>
      <c r="D138" s="21" t="n">
        <v>2024</v>
      </c>
      <c r="E138" s="21" t="inlineStr">
        <is>
          <t>Architecte, collaborateur des projets</t>
        </is>
      </c>
    </row>
    <row r="139" ht="15.75" customHeight="1" s="24">
      <c r="A139" s="21" t="n">
        <v>136</v>
      </c>
      <c r="B139" s="21" t="inlineStr">
        <is>
          <t>Abou</t>
        </is>
      </c>
      <c r="C139" s="21" t="inlineStr">
        <is>
          <t>NDYIAYE</t>
        </is>
      </c>
      <c r="D139" s="21" t="n">
        <v>2024</v>
      </c>
      <c r="E139" s="21" t="inlineStr">
        <is>
          <t>Concepteur Developpeur Informatique</t>
        </is>
      </c>
    </row>
    <row r="140" ht="15.75" customHeight="1" s="24">
      <c r="A140" s="21" t="n">
        <v>137</v>
      </c>
      <c r="B140" s="21" t="inlineStr">
        <is>
          <t>Destin Dieuviel</t>
        </is>
      </c>
      <c r="C140" s="21" t="inlineStr">
        <is>
          <t>NGANGA MATONDO</t>
        </is>
      </c>
      <c r="D140" s="21" t="n">
        <v>2024</v>
      </c>
      <c r="E140" s="21" t="inlineStr">
        <is>
          <t>Collaboratuer Agriculture</t>
        </is>
      </c>
    </row>
    <row r="141" ht="15.75" customHeight="1" s="24">
      <c r="A141" s="21" t="n">
        <v>138</v>
      </c>
      <c r="B141" s="21" t="inlineStr">
        <is>
          <t>Rose</t>
        </is>
      </c>
      <c r="C141" s="21" t="inlineStr">
        <is>
          <t>NGO NGIJOL</t>
        </is>
      </c>
      <c r="D141" s="21" t="n">
        <v>2024</v>
      </c>
      <c r="E141" s="21" t="inlineStr">
        <is>
          <t>Chargée de mission Supply Chain</t>
        </is>
      </c>
    </row>
    <row r="142" ht="15.75" customHeight="1" s="24">
      <c r="A142" s="21" t="n">
        <v>139</v>
      </c>
      <c r="B142" s="21" t="inlineStr">
        <is>
          <t>Gilles</t>
        </is>
      </c>
      <c r="C142" s="21" t="inlineStr">
        <is>
          <t>NGOUNOU</t>
        </is>
      </c>
      <c r="D142" s="21" t="n">
        <v>2024</v>
      </c>
      <c r="E142" s="21" t="inlineStr">
        <is>
          <t>Coordinateur statistique</t>
        </is>
      </c>
    </row>
    <row r="143" ht="15.75" customHeight="1" s="24">
      <c r="A143" s="21" t="n">
        <v>140</v>
      </c>
      <c r="B143" s="21" t="inlineStr">
        <is>
          <t>Alexis</t>
        </is>
      </c>
      <c r="C143" s="21" t="inlineStr">
        <is>
          <t>NJOMO NGOUNOU</t>
        </is>
      </c>
      <c r="D143" s="21" t="n">
        <v>2024</v>
      </c>
      <c r="E143" s="21" t="inlineStr">
        <is>
          <t>assistante de recherche étude impact environnement (INGENIEURE MATERIAUX)</t>
        </is>
      </c>
    </row>
    <row r="144" ht="15.75" customHeight="1" s="24">
      <c r="A144" s="21" t="n">
        <v>141</v>
      </c>
      <c r="B144" s="21" t="inlineStr">
        <is>
          <t>Hortense Jeanne</t>
        </is>
      </c>
      <c r="C144" s="21" t="inlineStr">
        <is>
          <t>NSI</t>
        </is>
      </c>
      <c r="D144" s="21" t="n">
        <v>2024</v>
      </c>
      <c r="E144" s="21" t="inlineStr">
        <is>
          <t>RH</t>
        </is>
      </c>
    </row>
    <row r="145" ht="15.75" customHeight="1" s="24">
      <c r="A145" s="21" t="n">
        <v>142</v>
      </c>
      <c r="B145" s="21" t="inlineStr">
        <is>
          <t>Betty</t>
        </is>
      </c>
      <c r="C145" s="21" t="inlineStr">
        <is>
          <t>ORGANERO</t>
        </is>
      </c>
      <c r="D145" s="21" t="n">
        <v>2024</v>
      </c>
      <c r="E145" s="21" t="inlineStr">
        <is>
          <t>Design</t>
        </is>
      </c>
    </row>
    <row r="146" ht="15.75" customHeight="1" s="24">
      <c r="A146" s="21" t="n">
        <v>143</v>
      </c>
      <c r="B146" s="21" t="inlineStr">
        <is>
          <t>Laura</t>
        </is>
      </c>
      <c r="C146" s="21" t="inlineStr">
        <is>
          <t>PAIN</t>
        </is>
      </c>
      <c r="D146" s="21" t="n">
        <v>2024</v>
      </c>
      <c r="E146" s="21" t="inlineStr">
        <is>
          <t>Traductrice</t>
        </is>
      </c>
    </row>
    <row r="147" ht="15.75" customHeight="1" s="24">
      <c r="A147" s="21" t="n">
        <v>144</v>
      </c>
      <c r="B147" s="21" t="inlineStr">
        <is>
          <t>Kevine</t>
        </is>
      </c>
      <c r="C147" s="21" t="inlineStr">
        <is>
          <t>PAMBOU</t>
        </is>
      </c>
      <c r="D147" s="21" t="n">
        <v>2024</v>
      </c>
      <c r="E147" s="21" t="inlineStr">
        <is>
          <t>Chargé de projet mobilité durable</t>
        </is>
      </c>
    </row>
    <row r="148" ht="15.75" customHeight="1" s="24">
      <c r="A148" s="21" t="n">
        <v>145</v>
      </c>
      <c r="B148" s="21" t="inlineStr">
        <is>
          <t>Alexia Thaïs</t>
        </is>
      </c>
      <c r="C148" s="21" t="inlineStr">
        <is>
          <t>PARENT</t>
        </is>
      </c>
      <c r="D148" s="21" t="n">
        <v>2024</v>
      </c>
      <c r="E148" s="21" t="inlineStr">
        <is>
          <t>RH</t>
        </is>
      </c>
    </row>
    <row r="149" ht="15.75" customHeight="1" s="24">
      <c r="A149" s="21" t="n">
        <v>146</v>
      </c>
      <c r="B149" s="21" t="inlineStr">
        <is>
          <t>Leane</t>
        </is>
      </c>
      <c r="C149" s="21" t="inlineStr">
        <is>
          <t>PILOT</t>
        </is>
      </c>
      <c r="D149" s="21" t="n">
        <v>2024</v>
      </c>
      <c r="E149" s="21" t="inlineStr">
        <is>
          <t>Traductrice</t>
        </is>
      </c>
    </row>
    <row r="150" ht="15.75" customHeight="1" s="24">
      <c r="A150" s="21" t="n">
        <v>147</v>
      </c>
      <c r="B150" s="21" t="inlineStr">
        <is>
          <t>Fabienne</t>
        </is>
      </c>
      <c r="C150" s="21" t="inlineStr">
        <is>
          <t>PLATNER</t>
        </is>
      </c>
      <c r="D150" s="21" t="n">
        <v>2024</v>
      </c>
      <c r="E150" s="21" t="inlineStr">
        <is>
          <t>Coordinatrice agriculture durable</t>
        </is>
      </c>
    </row>
    <row r="151" ht="15.75" customHeight="1" s="24">
      <c r="A151" s="21" t="n">
        <v>148</v>
      </c>
      <c r="B151" s="21" t="inlineStr">
        <is>
          <t>Hugo</t>
        </is>
      </c>
      <c r="C151" s="21" t="inlineStr">
        <is>
          <t>PONTES</t>
        </is>
      </c>
      <c r="D151" s="21" t="n">
        <v>2024</v>
      </c>
      <c r="E151" s="21" t="inlineStr">
        <is>
          <t>RH</t>
        </is>
      </c>
    </row>
    <row r="152" ht="15.75" customHeight="1" s="24">
      <c r="A152" s="21" t="n">
        <v>149</v>
      </c>
      <c r="B152" s="21" t="inlineStr">
        <is>
          <t>Ninelle</t>
        </is>
      </c>
      <c r="C152" s="21" t="inlineStr">
        <is>
          <t>Pascale Youmbi</t>
        </is>
      </c>
      <c r="D152" s="21" t="n">
        <v>2024</v>
      </c>
      <c r="E152" s="21" t="inlineStr">
        <is>
          <t>Chargée de communication digitale - Mode Durable</t>
        </is>
      </c>
    </row>
    <row r="153" ht="15.75" customHeight="1" s="24">
      <c r="A153" s="21" t="n">
        <v>150</v>
      </c>
      <c r="B153" s="21" t="inlineStr">
        <is>
          <t>Alicx Maryse</t>
        </is>
      </c>
      <c r="C153" s="21" t="inlineStr">
        <is>
          <t>RABEMAHARAVO</t>
        </is>
      </c>
      <c r="D153" s="21" t="n">
        <v>2024</v>
      </c>
      <c r="E153" s="21" t="inlineStr">
        <is>
          <t>Coordinateur GCBO</t>
        </is>
      </c>
    </row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  <row r="998" ht="15.75" customHeight="1" s="24"/>
    <row r="999" ht="15.75" customHeight="1" s="24"/>
    <row r="1000" ht="15.75" customHeight="1" s="24"/>
  </sheetData>
  <autoFilter ref="$A$3:$E$153"/>
  <mergeCells count="2">
    <mergeCell ref="A2:E2"/>
    <mergeCell ref="A1:E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2026-04-22T18:00:15Z</dcterms:created>
  <dcterms:modified xsi:type="dcterms:W3CDTF">2026-04-23T07:26:48Z</dcterms:modified>
</cp:coreProperties>
</file>